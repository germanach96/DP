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or Mes" sheetId="2" state="visible" r:id="rId4"/>
    <sheet name="Product Lines" sheetId="3" state="visible" r:id="rId5"/>
    <sheet name="Detalle EAN" sheetId="4" state="visible" r:id="rId6"/>
    <sheet name="EAN x Mes" sheetId="5" state="visible" r:id="rId7"/>
    <sheet name="Alertas" sheetId="6" state="visible" r:id="rId8"/>
    <sheet name="Notas" sheetId="7" state="visible" r:id="rId9"/>
    <sheet name="Datos" sheetId="8" state="visible" r:id="rId10"/>
  </sheets>
  <definedNames>
    <definedName function="false" hidden="true" localSheetId="7" name="_xlnm._FilterDatabase" vbProcedure="false">Datos!$A$1:$V$94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LY de 2027.M02 = 2,027.M02 leido como Feb-26: 23.589 u, ~5x un mes normal.
Concentrado en 2 EAN de brochas que hicieron pipe-fill en Feb-26:
KJCLIP REG 9.563 u y UNVL BLSH PINCEAU04 7.265 u.
Neutralizando ese mes, el YoY del scope pasa de -31,5% a +2,2%.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Manual = Ignore System Forecast Flag = 2: el consensus NO toma el System FC.
En esas lineas un movimiento del System FC no llega al numero comprometido.</t>
        </r>
      </text>
    </comment>
    <comment ref="O4" authorId="0">
      <text>
        <r>
          <rPr>
            <sz val="10"/>
            <rFont val="Arial"/>
            <family val="2"/>
          </rPr>
          <t xml:space="preserve">La extraccion no trae Initiative Forecast ni Prometheus Fcst Consensus.
Esta columna es el remanente entre el Consensus - Final y la suma de las capas que si vienen.
Es consistente con el gap documentado en CONTEXTO-DATOS.md seccion 6.</t>
        </r>
      </text>
    </comment>
  </commentList>
</comments>
</file>

<file path=xl/sharedStrings.xml><?xml version="1.0" encoding="utf-8"?>
<sst xmlns="http://schemas.openxmlformats.org/spreadsheetml/2006/main" count="1012" uniqueCount="226">
  <si>
    <t xml:space="preserve">Handover W35 vs W34  -  Kylie MU</t>
  </si>
  <si>
    <t xml:space="preserve">Consensus - Final en unidades. Horizonte de foco: 2026.M09 a 2027.M04 (8 meses). W35 = CurrentWorkingView | W34 = Month-2026.M08.W34(Recovered) | LY = Consensus - Final LY M.</t>
  </si>
  <si>
    <t xml:space="preserve">HEADLINE</t>
  </si>
  <si>
    <t xml:space="preserve">Consensus - Final (u)</t>
  </si>
  <si>
    <t xml:space="preserve">LY</t>
  </si>
  <si>
    <t xml:space="preserve">W34 (ciclo pasado)</t>
  </si>
  <si>
    <t xml:space="preserve">W35 (este ciclo)</t>
  </si>
  <si>
    <t xml:space="preserve">Δ vs LC (u)</t>
  </si>
  <si>
    <t xml:space="preserve">Δ vs LC (%)</t>
  </si>
  <si>
    <t xml:space="preserve">Δ vs LY (u)</t>
  </si>
  <si>
    <t xml:space="preserve">Δ vs LY (%)</t>
  </si>
  <si>
    <t xml:space="preserve">Horizonte 2026.M09 - 2027.M04</t>
  </si>
  <si>
    <t xml:space="preserve">   del cual: FY27 Q1 (Sep-26)</t>
  </si>
  <si>
    <t xml:space="preserve">   del cual: FY27 Q2 (Oct-Dic 26)</t>
  </si>
  <si>
    <t xml:space="preserve">   del cual: FY27 Q3 (Ene-Mar 27)</t>
  </si>
  <si>
    <t xml:space="preserve">   del cual: FY27 Q4 (Abr-27)</t>
  </si>
  <si>
    <t xml:space="preserve">Horizonte EXCLUYENDO 2027.M02 (mes distorsionado por el one-off de Feb-26)</t>
  </si>
  <si>
    <t xml:space="preserve">BRIDGE  W34 → W35  (horizonte M09-M04, unidades)</t>
  </si>
  <si>
    <t xml:space="preserve">Concepto</t>
  </si>
  <si>
    <t xml:space="preserve">Unidades</t>
  </si>
  <si>
    <t xml:space="preserve">Comentario</t>
  </si>
  <si>
    <t xml:space="preserve">W34 - Consensus ciclo pasado</t>
  </si>
  <si>
    <t xml:space="preserve">Punto de partida</t>
  </si>
  <si>
    <t xml:space="preserve">Δ System FC  (lineas que usan el sistema)</t>
  </si>
  <si>
    <t xml:space="preserve">El motor estadistico bajo su propio numero</t>
  </si>
  <si>
    <t xml:space="preserve">Δ Reasonability Adjustment</t>
  </si>
  <si>
    <t xml:space="preserve">Se retiraron los ajustes manuales de Dic-26 (+2.000) y Ene-27 (+1.000) y el -1.000 de Abr-27</t>
  </si>
  <si>
    <t xml:space="preserve">Δ Total Demand Assumption</t>
  </si>
  <si>
    <t xml:space="preserve">Se limpio el -173/mes que arrastraba TINT BRUSH PINCEAU 03</t>
  </si>
  <si>
    <t xml:space="preserve">Δ Otras capas no incluidas en la extraccion (residual)</t>
  </si>
  <si>
    <t xml:space="preserve">Consensus menos la suma de capas extraidas. Initiative / Prometheus no vienen en este extract</t>
  </si>
  <si>
    <t xml:space="preserve">Δ Lineas en modo manual (Ignore System FC = 2)</t>
  </si>
  <si>
    <t xml:space="preserve">Face Multi: el consensus no se movio, aunque el System FC si (ver hoja Alertas)</t>
  </si>
  <si>
    <t xml:space="preserve">W35 - Consensus este ciclo</t>
  </si>
  <si>
    <t xml:space="preserve">Punto de llegada</t>
  </si>
  <si>
    <t xml:space="preserve">Control (debe dar 0)</t>
  </si>
  <si>
    <t xml:space="preserve">EL NETO ESCONDE EL MOVIMIENTO REAL</t>
  </si>
  <si>
    <t xml:space="preserve">Medida</t>
  </si>
  <si>
    <t xml:space="preserve">Lectura</t>
  </si>
  <si>
    <t xml:space="preserve">Cambio NETO del horizonte</t>
  </si>
  <si>
    <t xml:space="preserve">Lo que ve supply en el total</t>
  </si>
  <si>
    <t xml:space="preserve">Movimiento BRUTO (suma de |Δ| por mes)</t>
  </si>
  <si>
    <t xml:space="preserve">Volumen que efectivamente se re-faseo entre meses</t>
  </si>
  <si>
    <t xml:space="preserve">Movimiento BRUTO (suma de |Δ| por EAN x mes)</t>
  </si>
  <si>
    <t xml:space="preserve">Volumen re-faseado a nivel codigo x mes</t>
  </si>
  <si>
    <t xml:space="preserve">Ratio bruto / neto (por mes)</t>
  </si>
  <si>
    <t xml:space="preserve">Por cada unidad de cambio neto se movieron ~3,6 unidades de fase</t>
  </si>
  <si>
    <t xml:space="preserve">MENSAJES PARA LA PRESENTACION</t>
  </si>
  <si>
    <t xml:space="preserve">Bloque</t>
  </si>
  <si>
    <t xml:space="preserve">Mensaje</t>
  </si>
  <si>
    <t xml:space="preserve">Vs LC</t>
  </si>
  <si>
    <t xml:space="preserve">El scope de brochas y accesorios de Kylie cierra el ciclo en -2,0K u / -5% sobre M09-M04. El numero total casi no se movio: lo que cambio fue la fase.</t>
  </si>
  <si>
    <t xml:space="preserve">El 100% del descenso neto viene de UN codigo: TINT BRUSH PINCEAU 03 (-2,5K u / -10%). El resto del scope suma +0,5K u.</t>
  </si>
  <si>
    <t xml:space="preserve">Se adelanto volumen a Sep-26 (+1,6K / +25%) y se saco de Oct-26 (-1,3K / -24%), Mar-27 (-1,9K / -28%) y Abr-27 (-1,2K / -32%). Q1 sube, Q3 y Q4 bajan.</t>
  </si>
  <si>
    <t xml:space="preserve">El movimiento es de sistema, no de criterio: el System FC bajo -2,1K u y ademas se retiraron todos los ajustes manuales (RA -2,0K, TDA +1,2K al limpiar el -173/mes).</t>
  </si>
  <si>
    <t xml:space="preserve">Vs LY</t>
  </si>
  <si>
    <t xml:space="preserve">El -31,5% vs LY es un artefacto: Feb-26 cargo 23,6K u de pipe-fill de dos brochas nuevas (KJCLIP 9,6K + UNVL BLSH 7,3K). Neutralizando Feb, el scope esta en +2,2% vs LY.</t>
  </si>
  <si>
    <t xml:space="preserve">Face Multi -50% vs LY es el mismo efecto base. Accesories -22% vs LY es real y se explica por TINT BRUSH PINCEAU 03 (-6,1K u vs LY).</t>
  </si>
  <si>
    <t xml:space="preserve">Riesgo</t>
  </si>
  <si>
    <t xml:space="preserve">UNVL BLSH PINCEAU04: el System FC subio a 11,1K u y el consensus se quedo en 6,5K por Total Demand Assumption. Gap de +4,6K u sin revisar.</t>
  </si>
  <si>
    <t xml:space="preserve">PRS SCLP CMPLN 05: el System FC se fue a 0 y el consensus termina en Mar-27. Confirmar si es descontinuacion o hueco de mantenimiento.</t>
  </si>
  <si>
    <t xml:space="preserve">Consensus - Final por mes</t>
  </si>
  <si>
    <t xml:space="preserve">Horizonte de foco sombreado. Unidades.</t>
  </si>
  <si>
    <t xml:space="preserve">Mes</t>
  </si>
  <si>
    <t xml:space="preserve">Trim. FY</t>
  </si>
  <si>
    <t xml:space="preserve">W34</t>
  </si>
  <si>
    <t xml:space="preserve">W35</t>
  </si>
  <si>
    <t xml:space="preserve">W35 System FC</t>
  </si>
  <si>
    <t xml:space="preserve">W34 System FC</t>
  </si>
  <si>
    <t xml:space="preserve">Δ System FC</t>
  </si>
  <si>
    <t xml:space="preserve">Cerrado / en curso</t>
  </si>
  <si>
    <t xml:space="preserve">2026.M09</t>
  </si>
  <si>
    <t xml:space="preserve">FY27 Q1</t>
  </si>
  <si>
    <t xml:space="preserve">2026.M10</t>
  </si>
  <si>
    <t xml:space="preserve">FY27 Q2</t>
  </si>
  <si>
    <t xml:space="preserve">2026.M11</t>
  </si>
  <si>
    <t xml:space="preserve">2026.M12</t>
  </si>
  <si>
    <t xml:space="preserve">2027.M01</t>
  </si>
  <si>
    <t xml:space="preserve">FY27 Q3</t>
  </si>
  <si>
    <t xml:space="preserve">2027.M02</t>
  </si>
  <si>
    <t xml:space="preserve">2027.M03</t>
  </si>
  <si>
    <t xml:space="preserve">2027.M04</t>
  </si>
  <si>
    <t xml:space="preserve">FY27 Q4</t>
  </si>
  <si>
    <t xml:space="preserve">TOTAL M09-M04</t>
  </si>
  <si>
    <t xml:space="preserve">Fuera del horizonte de foco (contexto)</t>
  </si>
  <si>
    <t xml:space="preserve">2026.M07</t>
  </si>
  <si>
    <t xml:space="preserve">FY26 Q4</t>
  </si>
  <si>
    <t xml:space="preserve">2026.M08</t>
  </si>
  <si>
    <t xml:space="preserve">2027.M05</t>
  </si>
  <si>
    <t xml:space="preserve">2027.M06</t>
  </si>
  <si>
    <t xml:space="preserve">2026.M07 esta cerrado (System FC = Consensus = Actuals) y 2026.M08 sigue facturando: por eso quedan fuera del foco.</t>
  </si>
  <si>
    <t xml:space="preserve">Top Product Lines  -  W35 vs W34 vs LY</t>
  </si>
  <si>
    <t xml:space="preserve">Horizonte 2026.M09 - 2027.M04. Unidades.</t>
  </si>
  <si>
    <t xml:space="preserve">Product Line</t>
  </si>
  <si>
    <t xml:space="preserve"># EAN</t>
  </si>
  <si>
    <t xml:space="preserve">% del libro W35</t>
  </si>
  <si>
    <t xml:space="preserve">Δ vs LY ex-Feb27 (u)</t>
  </si>
  <si>
    <t xml:space="preserve">Contribucion al Δ LC</t>
  </si>
  <si>
    <t xml:space="preserve">Accesories (00006010)</t>
  </si>
  <si>
    <t xml:space="preserve">Face Multi (00006011)</t>
  </si>
  <si>
    <t xml:space="preserve">Kylie Eye Brushes (00006121)</t>
  </si>
  <si>
    <t xml:space="preserve">TOTAL</t>
  </si>
  <si>
    <t xml:space="preserve">Detalle mensual por Product Line  -  Δ vs LC (u)</t>
  </si>
  <si>
    <t xml:space="preserve">Total</t>
  </si>
  <si>
    <t xml:space="preserve">Detalle mensual por Product Line  -  Consensus W35 (u)</t>
  </si>
  <si>
    <t xml:space="preserve">Anclas de calculo (no borrar)</t>
  </si>
  <si>
    <t xml:space="preserve">Detalle por EAN  -  ordenado por magnitud del cambio vs ciclo pasado</t>
  </si>
  <si>
    <t xml:space="preserve">Horizonte 2026.M09 - 2027.M04. Unidades. "Otras capas" = Consensus menos (System FC + Reasonability Adj + Total Demand Assumption).</t>
  </si>
  <si>
    <t xml:space="preserve">EAN</t>
  </si>
  <si>
    <t xml:space="preserve">Planning Item Description</t>
  </si>
  <si>
    <t xml:space="preserve">Modo</t>
  </si>
  <si>
    <t xml:space="preserve">Δ Reason. Adj</t>
  </si>
  <si>
    <t xml:space="preserve">Δ Total Dem. Assum.</t>
  </si>
  <si>
    <t xml:space="preserve">Δ Otras capas</t>
  </si>
  <si>
    <t xml:space="preserve">Gap SysFC vs Consensus</t>
  </si>
  <si>
    <t xml:space="preserve">4064941161349</t>
  </si>
  <si>
    <t xml:space="preserve">KJ MU OTH ACC TINT BRUSH PINCEAU 03 IV</t>
  </si>
  <si>
    <t xml:space="preserve">Sistema</t>
  </si>
  <si>
    <t xml:space="preserve">4064941117254</t>
  </si>
  <si>
    <t xml:space="preserve">KJ MU OTH ACC BRUSH CONCE BRUSH IV</t>
  </si>
  <si>
    <t xml:space="preserve">4064941117261</t>
  </si>
  <si>
    <t xml:space="preserve">KJ MU OTH ACC RG BRUSH FOUND 23IV</t>
  </si>
  <si>
    <t xml:space="preserve">4064941039655</t>
  </si>
  <si>
    <t xml:space="preserve">KJ MU OTH ACC PENC SHARP n/a FY21 IV</t>
  </si>
  <si>
    <t xml:space="preserve">4064941192046</t>
  </si>
  <si>
    <t xml:space="preserve">KJ MU FACE ML UNVL BLSH  PINCEAU04 IV</t>
  </si>
  <si>
    <t xml:space="preserve">Manual</t>
  </si>
  <si>
    <t xml:space="preserve">4064941192060</t>
  </si>
  <si>
    <t xml:space="preserve">KJ MU FACE ML BRUSH PRS SCLP CMPLN 05 IV</t>
  </si>
  <si>
    <t xml:space="preserve">4064941200116</t>
  </si>
  <si>
    <t xml:space="preserve">KJ MU FACE ML BRUSH KJCLIP REG IV</t>
  </si>
  <si>
    <t xml:space="preserve">4064941039662</t>
  </si>
  <si>
    <t xml:space="preserve">KJ MU OTH ACC BRUSH n/a BROW FY21 IV</t>
  </si>
  <si>
    <t xml:space="preserve">Matriz EAN x Mes</t>
  </si>
  <si>
    <t xml:space="preserve">Consensus - Final en unidades. Horizonte 2026.M09 - 2027.M04.</t>
  </si>
  <si>
    <t xml:space="preserve">A. Δ vs ciclo pasado  (W35 - W34)</t>
  </si>
  <si>
    <t xml:space="preserve">B. Consensus W35 (este ciclo)</t>
  </si>
  <si>
    <t xml:space="preserve">C. Consensus W34 (ciclo pasado)</t>
  </si>
  <si>
    <t xml:space="preserve">D. Consensus - Final LY M (ano pasado)</t>
  </si>
  <si>
    <t xml:space="preserve">Alertas y puntos a revisar</t>
  </si>
  <si>
    <t xml:space="preserve">Ordenadas por impacto en unidades sobre el horizonte M09-M04.</t>
  </si>
  <si>
    <t xml:space="preserve">#</t>
  </si>
  <si>
    <t xml:space="preserve">Prioridad</t>
  </si>
  <si>
    <t xml:space="preserve">Codigo</t>
  </si>
  <si>
    <t xml:space="preserve">Hallazgo</t>
  </si>
  <si>
    <t xml:space="preserve">Impacto (u)</t>
  </si>
  <si>
    <t xml:space="preserve">Accion sugerida</t>
  </si>
  <si>
    <t xml:space="preserve">Alta</t>
  </si>
  <si>
    <t xml:space="preserve">KJ MU FACE ML UNVL BLSH PINCEAU04 IV</t>
  </si>
  <si>
    <t xml:space="preserve">El System FC subio de 4.233 a 11.105 u (+162%) pero la linea esta en Ignore System FC = 2, asi que el consensus se quedo clavado en 6.500 u de Total Demand Assumption. El sistema ve 4,6K u mas de las que comprometemos.</t>
  </si>
  <si>
    <t xml:space="preserve">Revisar si el TDA de 6.500 sigue vigente o si hay que soltar el System FC. Es el mayor upside sin capturar del scope.</t>
  </si>
  <si>
    <t xml:space="preserve">Unico driver del descenso neto del ciclo: -2.508 u (-10%). Ademas se re-faseo fuerte dentro del horizonte (Sep +864, Oct -962, Mar -1.905, Abr -1.223). Se retiraron todos los ajustes manuales (RA +2.000 Dic/Ene, TDA -173/mes).</t>
  </si>
  <si>
    <t xml:space="preserve">Confirmar que la limpieza de capas fue intencional. Este codigo solo es el 55% del libro y el 123% del descenso neto del ciclo.</t>
  </si>
  <si>
    <t xml:space="preserve">Media</t>
  </si>
  <si>
    <t xml:space="preserve">El System FC se fue de 5.777 u a 0 en todo el horizonte. El consensus no se movio (linea manual) pero termina en 2027.M03: no hay numero de Abr-27 en adelante, y LY si tenia 320 u en Abr.</t>
  </si>
  <si>
    <t xml:space="preserve">Confirmar si es descontinuacion (correcto) o hueco de mantenimiento (hay que extender el forecast).</t>
  </si>
  <si>
    <t xml:space="preserve">Neto casi plano (+342 u) pero con el mayor re-faseo relativo del scope: Sep +544, Dic +542, Oct -277, Feb -1.007.</t>
  </si>
  <si>
    <t xml:space="preserve">Validar con el cliente el timing de Feb-27: es la caida mas grande y no tiene ajuste manual detras.</t>
  </si>
  <si>
    <t xml:space="preserve">El System FC cayo de 1.706 a 29 u. Sin impacto en consensus (linea manual, TDA -4.500 y capa residual +5.886). YoY -85% por el pipe-fill de 9.563 u en Feb-26.</t>
  </si>
  <si>
    <t xml:space="preserve">La estructura de capas de este codigo es ilegible: TDA negativo grande compensado por una capa que no viene en el extract. Pedir el desglose completo.</t>
  </si>
  <si>
    <t xml:space="preserve">Baja</t>
  </si>
  <si>
    <t xml:space="preserve">Unico EAN de la product line Kylie Eye Brushes. Consensus = 0 en W34 y en W35, pero LY tenia 139 u en el horizonte. No hay System FC ni capas manuales.</t>
  </si>
  <si>
    <t xml:space="preserve">Confirmar descontinuacion y sacar la product line del scope, o levantar el forecast si sigue viva.</t>
  </si>
  <si>
    <t xml:space="preserve">Metodo</t>
  </si>
  <si>
    <t xml:space="preserve">-</t>
  </si>
  <si>
    <t xml:space="preserve">Todo el scope</t>
  </si>
  <si>
    <t xml:space="preserve">La comparacion vs LY del total (-31,5%) esta dominada por Feb-26: 23.589 u contra ~5K de un mes normal, con 16,8K u en dos brochas que hicieron pipe-fill. Sin ese mes el scope esta en +2,2% vs LY.</t>
  </si>
  <si>
    <t xml:space="preserve">Presentar el YoY siempre ex-Feb, o marcar Feb-26 como excepcion en la lamina. Si no, la conclusion es falsa.</t>
  </si>
  <si>
    <t xml:space="preserve">El Consensus - Final no cuadra con la suma de capas extraidas: faltan Initiative Forecast y Prometheus Fcst Consensus. El residual explica +1.461 u del delta del ciclo.</t>
  </si>
  <si>
    <t xml:space="preserve">Pedir a O9 el extract con todas las capas para poder atribuir el cambio al 100%.</t>
  </si>
  <si>
    <t xml:space="preserve">Columna P: celdas auxiliares que alimentan "Impacto (u)". No borrar.</t>
  </si>
  <si>
    <t xml:space="preserve">Impacto (u): fila 1 = gap System FC vs consensus; fila 2 = delta de consensus vs ciclo pasado; filas 3 y 5 = delta de System FC; fila 4 = movimiento bruto entre meses; fila 6 = volumen LY sin forecast; fila 7 = delta vs LY del scope; fila 8 = parte del delta del ciclo que no explican las capas extraidas.</t>
  </si>
  <si>
    <t xml:space="preserve">Alcance, metodo y advertencias</t>
  </si>
  <si>
    <t xml:space="preserve">ALCANCE DEL ARCHIVO</t>
  </si>
  <si>
    <t xml:space="preserve">Que trae el extract</t>
  </si>
  <si>
    <t xml:space="preserve">handover W35.xlsx contiene 3 product lines y 8 EAN, todos brochas y accesorios de Kylie MU: Accesories (00006010), Face Multi (00006011) y Kylie Eye Brushes (00006121). 93 filas EAN x mes.</t>
  </si>
  <si>
    <t xml:space="preserve">ADVERTENCIA - lee esto primero</t>
  </si>
  <si>
    <t xml:space="preserve">Este NO es el scope completo de la casa Kylie. No hay Skin Tint, ni Lip, ni el resto del maquillaje: solo el bloque de brochas y accesorios, 38,7K u en el horizonte. Todo lo que dice este workbook es cierto para ese bloque y no se puede extrapolar a Kylie MU total. Para la presentacion hace falta re-exportar el handover sin filtro de product line (misma plantilla de dos vistas + Consensus - Final LY M).</t>
  </si>
  <si>
    <t xml:space="preserve">Reproducible</t>
  </si>
  <si>
    <t xml:space="preserve">analysis/handover_w35/build_workbook.py regenera este archivo. Basta con reemplazar handover W35.xlsx por el extract completo y volver a correrlo: todas las hojas escalan solas.</t>
  </si>
  <si>
    <t xml:space="preserve">DEFINICIONES</t>
  </si>
  <si>
    <t xml:space="preserve">W35 / este ciclo</t>
  </si>
  <si>
    <t xml:space="preserve">Bloque de columnas con fila A = CurrentWorkingView.</t>
  </si>
  <si>
    <t xml:space="preserve">W34 / ciclo pasado</t>
  </si>
  <si>
    <t xml:space="preserve">Bloque de columnas con fila A = Month-2026.M08.W34(Recovered).</t>
  </si>
  <si>
    <t xml:space="preserve">Medida Consensus - Final LY M. Como O9 sobreescribe la historia al cerrar el mes, en meses cerrados esa medida equivale al actual del ano pasado.</t>
  </si>
  <si>
    <t xml:space="preserve">Horizonte de foco</t>
  </si>
  <si>
    <t xml:space="preserve">2026.M09 a 2027.M04, 8 meses, segun lo pedido. El extract cubre 2026.M07 a 2027.M06; M07 esta cerrado y M08 sigue facturando, por eso quedan fuera (hoja Por Mes los muestra como contexto).</t>
  </si>
  <si>
    <t xml:space="preserve">Todo el workbook esta en unidades. El extract no trae valor.</t>
  </si>
  <si>
    <t xml:space="preserve">Modo forecast</t>
  </si>
  <si>
    <t xml:space="preserve">Ignore System Forecast Flag = 2 significa que el consensus NO toma el System FC. 3 de los 8 EAN estan asi (toda la product line Face Multi, 24% del libro). En esas lineas el System FC puede moverse muchisimo sin que el numero comprometido cambie.</t>
  </si>
  <si>
    <t xml:space="preserve">Otras capas / residual</t>
  </si>
  <si>
    <t xml:space="preserve">El extract trae System FC, Reasonability Adjustment y Total Demand Assumption, pero no Initiative Forecast ni Prometheus Fcst Consensus. Por eso el Consensus - Final no cuadra con la suma de capas y aparece un residual. Es el mismo gap documentado en CONTEXTO-DATOS.md seccion 6.</t>
  </si>
  <si>
    <t xml:space="preserve">COMO LEER LOS NUMEROS</t>
  </si>
  <si>
    <t xml:space="preserve">Delta vs LC</t>
  </si>
  <si>
    <t xml:space="preserve">W35 menos W34. Positivo = subimos el compromiso a supply respecto del ciclo pasado.</t>
  </si>
  <si>
    <t xml:space="preserve">Delta vs LY</t>
  </si>
  <si>
    <t xml:space="preserve">W35 menos Consensus - Final LY M. Ojo con 2027.M02: ver la siguiente nota.</t>
  </si>
  <si>
    <t xml:space="preserve">El one-off de Feb-26</t>
  </si>
  <si>
    <t xml:space="preserve">LY de 2027.M02 vale 23.589 u contra ~5K de un mes normal. Son dos brochas que hicieron pipe-fill en Feb-26: KJCLIP REG 9.563 u y UNVL BLSH PINCEAU04 7.265 u. Ese unico mes convierte un scope que esta en +2,2% vs LY en un -31,5%. Presentar siempre el YoY ex-Feb, o marcar el mes como excepcion.</t>
  </si>
  <si>
    <t xml:space="preserve">Neto vs bruto</t>
  </si>
  <si>
    <t xml:space="preserve">El cambio neto del ciclo son -2.039 u, pero el movimiento bruto entre meses son 7.429 u (3,6x) y a nivel EAN x mes son 9.163 u. El mensaje no es "bajamos 5%", es "re-faseamos el libro".</t>
  </si>
  <si>
    <t xml:space="preserve">No se puede medir accuracy</t>
  </si>
  <si>
    <t xml:space="preserve">Con estos datos no se puede calcular MAPE ni BIAS: O9 sobreescribe el forecast con el actual al cerrar el mes. Haria falta el extract con fotos a lag-1 y lag-3.</t>
  </si>
  <si>
    <t xml:space="preserve">FUENTE</t>
  </si>
  <si>
    <t xml:space="preserve">Archivo</t>
  </si>
  <si>
    <t xml:space="preserve">handover W35.xlsx (repo germanach96/DP), extraccion O9, hoja Sheet1.</t>
  </si>
  <si>
    <t xml:space="preserve">Contexto de negocio</t>
  </si>
  <si>
    <t xml:space="preserve">CONTEXTO-DATOS.md (repo germanach96/DP).</t>
  </si>
  <si>
    <t xml:space="preserve">Trimestres fiscales</t>
  </si>
  <si>
    <t xml:space="preserve">FY de julio a junio. FY27 Q1 = Jul-Sep 26, Q2 = Oct-Dic 26, Q3 = Ene-Mar 27, Q4 = Abr-Jun 27. Dentro del horizonte, Q1 solo aporta Sep y Q4 solo aporta Abr.</t>
  </si>
  <si>
    <t xml:space="preserve">Trimestre FY</t>
  </si>
  <si>
    <t xml:space="preserve">En Horizonte</t>
  </si>
  <si>
    <t xml:space="preserve">W35 Consensus</t>
  </si>
  <si>
    <t xml:space="preserve">W35 Reasonability Adj</t>
  </si>
  <si>
    <t xml:space="preserve">W35 Total Dem. Assumption</t>
  </si>
  <si>
    <t xml:space="preserve">W35 Ignore SysFC Flag</t>
  </si>
  <si>
    <t xml:space="preserve">W35 EPOS</t>
  </si>
  <si>
    <t xml:space="preserve">W35 Supply Cuts</t>
  </si>
  <si>
    <t xml:space="preserve">W34 Consensus</t>
  </si>
  <si>
    <t xml:space="preserve">W34 Reasonability Adj</t>
  </si>
  <si>
    <t xml:space="preserve">W34 Total Dem. Assumption</t>
  </si>
  <si>
    <t xml:space="preserve">W34 Ignore SysFC Flag</t>
  </si>
  <si>
    <t xml:space="preserve">Consensus Final LY M</t>
  </si>
  <si>
    <t xml:space="preserve">Delta vs LC (u)</t>
  </si>
  <si>
    <t xml:space="preserve">Delta vs LY (u)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</si>
</sst>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[RED]\(#,##0\);\-"/>
    <numFmt numFmtId="166" formatCode="0.0%;[RED]\(0.0%\);\-"/>
    <numFmt numFmtId="167" formatCode="0.0\x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9E2F3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5" min="3" style="0" width="15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9" min="8" style="0" width="13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  <row r="6" customFormat="false" ht="15" hidden="false" customHeight="false" outlineLevel="0" collapsed="false">
      <c r="B6" s="5" t="s">
        <v>11</v>
      </c>
      <c r="C6" s="6" t="n">
        <f aca="false">SUMIFS(Datos!$T$2:$T$94,Datos!$F$2:$F$94,1)</f>
        <v>56438</v>
      </c>
      <c r="D6" s="6" t="n">
        <f aca="false">SUMIFS(Datos!$O$2:$O$94,Datos!$F$2:$F$94,1)</f>
        <v>40721</v>
      </c>
      <c r="E6" s="6" t="n">
        <f aca="false">SUMIFS(Datos!$H$2:$H$94,Datos!$F$2:$F$94,1)</f>
        <v>38682</v>
      </c>
      <c r="F6" s="6" t="n">
        <f aca="false">E6-D6</f>
        <v>-2039</v>
      </c>
      <c r="G6" s="7" t="n">
        <f aca="false">IFERROR(E6/D6-1,"")</f>
        <v>-0.0500724441934137</v>
      </c>
      <c r="H6" s="6" t="n">
        <f aca="false">E6-C6</f>
        <v>-17756</v>
      </c>
      <c r="I6" s="7" t="n">
        <f aca="false">IFERROR(E6/C6-1,"")</f>
        <v>-0.314610723271555</v>
      </c>
    </row>
    <row r="7" customFormat="false" ht="15" hidden="false" customHeight="false" outlineLevel="0" collapsed="false">
      <c r="B7" s="8" t="s">
        <v>12</v>
      </c>
      <c r="C7" s="9" t="n">
        <f aca="false">SUMIFS(Datos!$T$2:$T$94,Datos!$E$2:$E$94,"FY27 Q1",Datos!$F$2:$F$94,1)</f>
        <v>5552</v>
      </c>
      <c r="D7" s="9" t="n">
        <f aca="false">SUMIFS(Datos!$O$2:$O$94,Datos!$E$2:$E$94,"FY27 Q1",Datos!$F$2:$F$94,1)</f>
        <v>6409</v>
      </c>
      <c r="E7" s="9" t="n">
        <f aca="false">SUMIFS(Datos!$H$2:$H$94,Datos!$E$2:$E$94,"FY27 Q1",Datos!$F$2:$F$94,1)</f>
        <v>7992</v>
      </c>
      <c r="F7" s="9" t="n">
        <f aca="false">E7-D7</f>
        <v>1583</v>
      </c>
      <c r="G7" s="10" t="n">
        <f aca="false">IFERROR(E7/D7-1,"")</f>
        <v>0.246996411296614</v>
      </c>
      <c r="H7" s="9" t="n">
        <f aca="false">E7-C7</f>
        <v>2440</v>
      </c>
      <c r="I7" s="10" t="n">
        <f aca="false">IFERROR(E7/C7-1,"")</f>
        <v>0.439481268011527</v>
      </c>
    </row>
    <row r="8" customFormat="false" ht="15" hidden="false" customHeight="false" outlineLevel="0" collapsed="false">
      <c r="B8" s="8" t="s">
        <v>13</v>
      </c>
      <c r="C8" s="9" t="n">
        <f aca="false">SUMIFS(Datos!$T$2:$T$94,Datos!$E$2:$E$94,"FY27 Q2",Datos!$F$2:$F$94,1)</f>
        <v>12831</v>
      </c>
      <c r="D8" s="9" t="n">
        <f aca="false">SUMIFS(Datos!$O$2:$O$94,Datos!$E$2:$E$94,"FY27 Q2",Datos!$F$2:$F$94,1)</f>
        <v>14291</v>
      </c>
      <c r="E8" s="9" t="n">
        <f aca="false">SUMIFS(Datos!$H$2:$H$94,Datos!$E$2:$E$94,"FY27 Q2",Datos!$F$2:$F$94,1)</f>
        <v>13982</v>
      </c>
      <c r="F8" s="9" t="n">
        <f aca="false">E8-D8</f>
        <v>-309</v>
      </c>
      <c r="G8" s="10" t="n">
        <f aca="false">IFERROR(E8/D8-1,"")</f>
        <v>-0.0216219998600518</v>
      </c>
      <c r="H8" s="9" t="n">
        <f aca="false">E8-C8</f>
        <v>1151</v>
      </c>
      <c r="I8" s="10" t="n">
        <f aca="false">IFERROR(E8/C8-1,"")</f>
        <v>0.0897046216195152</v>
      </c>
    </row>
    <row r="9" customFormat="false" ht="15" hidden="false" customHeight="false" outlineLevel="0" collapsed="false">
      <c r="B9" s="8" t="s">
        <v>14</v>
      </c>
      <c r="C9" s="9" t="n">
        <f aca="false">SUMIFS(Datos!$T$2:$T$94,Datos!$E$2:$E$94,"FY27 Q3",Datos!$F$2:$F$94,1)</f>
        <v>34757</v>
      </c>
      <c r="D9" s="9" t="n">
        <f aca="false">SUMIFS(Datos!$O$2:$O$94,Datos!$E$2:$E$94,"FY27 Q3",Datos!$F$2:$F$94,1)</f>
        <v>16184</v>
      </c>
      <c r="E9" s="9" t="n">
        <f aca="false">SUMIFS(Datos!$H$2:$H$94,Datos!$E$2:$E$94,"FY27 Q3",Datos!$F$2:$F$94,1)</f>
        <v>14101</v>
      </c>
      <c r="F9" s="9" t="n">
        <f aca="false">E9-D9</f>
        <v>-2083</v>
      </c>
      <c r="G9" s="10" t="n">
        <f aca="false">IFERROR(E9/D9-1,"")</f>
        <v>-0.128707365299061</v>
      </c>
      <c r="H9" s="9" t="n">
        <f aca="false">E9-C9</f>
        <v>-20656</v>
      </c>
      <c r="I9" s="10" t="n">
        <f aca="false">IFERROR(E9/C9-1,"")</f>
        <v>-0.594297551572346</v>
      </c>
    </row>
    <row r="10" customFormat="false" ht="15" hidden="false" customHeight="false" outlineLevel="0" collapsed="false">
      <c r="B10" s="8" t="s">
        <v>15</v>
      </c>
      <c r="C10" s="9" t="n">
        <f aca="false">SUMIFS(Datos!$T$2:$T$94,Datos!$E$2:$E$94,"FY27 Q4",Datos!$F$2:$F$94,1)</f>
        <v>3298</v>
      </c>
      <c r="D10" s="9" t="n">
        <f aca="false">SUMIFS(Datos!$O$2:$O$94,Datos!$E$2:$E$94,"FY27 Q4",Datos!$F$2:$F$94,1)</f>
        <v>3837</v>
      </c>
      <c r="E10" s="9" t="n">
        <f aca="false">SUMIFS(Datos!$H$2:$H$94,Datos!$E$2:$E$94,"FY27 Q4",Datos!$F$2:$F$94,1)</f>
        <v>2607</v>
      </c>
      <c r="F10" s="9" t="n">
        <f aca="false">E10-D10</f>
        <v>-1230</v>
      </c>
      <c r="G10" s="10" t="n">
        <f aca="false">IFERROR(E10/D10-1,"")</f>
        <v>-0.320562939796716</v>
      </c>
      <c r="H10" s="9" t="n">
        <f aca="false">E10-C10</f>
        <v>-691</v>
      </c>
      <c r="I10" s="10" t="n">
        <f aca="false">IFERROR(E10/C10-1,"")</f>
        <v>-0.20952092177077</v>
      </c>
    </row>
    <row r="12" customFormat="false" ht="15" hidden="false" customHeight="false" outlineLevel="0" collapsed="false">
      <c r="B12" s="11" t="s">
        <v>16</v>
      </c>
      <c r="C12" s="12" t="n">
        <f aca="false">SUMIFS(Datos!$T$2:$T$94,Datos!$D$2:$D$94,"&lt;&gt;2027.M02",Datos!$F$2:$F$94,1)</f>
        <v>32849</v>
      </c>
      <c r="D12" s="12" t="n">
        <f aca="false">SUMIFS(Datos!$O$2:$O$94,Datos!$D$2:$D$94,"&lt;&gt;2027.M02",Datos!$F$2:$F$94,1)</f>
        <v>35291</v>
      </c>
      <c r="E12" s="12" t="n">
        <f aca="false">SUMIFS(Datos!$H$2:$H$94,Datos!$D$2:$D$94,"&lt;&gt;2027.M02",Datos!$F$2:$F$94,1)</f>
        <v>33568</v>
      </c>
      <c r="F12" s="12" t="n">
        <f aca="false">E12-D12</f>
        <v>-1723</v>
      </c>
      <c r="G12" s="13" t="n">
        <f aca="false">IFERROR(E12/D12-1,"")</f>
        <v>-0.0488226460003967</v>
      </c>
      <c r="H12" s="12" t="n">
        <f aca="false">E12-C12</f>
        <v>718.999999999964</v>
      </c>
      <c r="I12" s="13" t="n">
        <f aca="false">IFERROR(E12/C12-1,"")</f>
        <v>0.0218880331212508</v>
      </c>
    </row>
    <row r="15" customFormat="false" ht="15" hidden="false" customHeight="false" outlineLevel="0" collapsed="false">
      <c r="B15" s="3" t="s">
        <v>17</v>
      </c>
    </row>
    <row r="16" customFormat="false" ht="30" hidden="false" customHeight="true" outlineLevel="0" collapsed="false">
      <c r="B16" s="4" t="s">
        <v>18</v>
      </c>
      <c r="C16" s="4" t="s">
        <v>19</v>
      </c>
      <c r="D16" s="4" t="s">
        <v>20</v>
      </c>
    </row>
    <row r="17" customFormat="false" ht="15" hidden="false" customHeight="false" outlineLevel="0" collapsed="false">
      <c r="B17" s="5" t="s">
        <v>21</v>
      </c>
      <c r="D17" s="6" t="n">
        <f aca="false">SUMIFS(Datos!$O$2:$O$94,Datos!$F$2:$F$94,1)</f>
        <v>40721</v>
      </c>
      <c r="E17" s="14" t="s">
        <v>22</v>
      </c>
      <c r="F17" s="14"/>
      <c r="G17" s="14"/>
      <c r="H17" s="14"/>
      <c r="I17" s="14"/>
    </row>
    <row r="18" customFormat="false" ht="15" hidden="false" customHeight="false" outlineLevel="0" collapsed="false">
      <c r="B18" s="8" t="s">
        <v>23</v>
      </c>
      <c r="D18" s="9" t="n">
        <f aca="false">SUMIFS(Datos!$I$2:$I$94,Datos!$G$2:$G$94,"Sistema",Datos!$F$2:$F$94,1)-SUMIFS(Datos!$P$2:$P$94,Datos!$G$2:$G$94,"Sistema",Datos!$F$2:$F$94,1)</f>
        <v>-2129</v>
      </c>
      <c r="E18" s="15" t="s">
        <v>24</v>
      </c>
      <c r="F18" s="15"/>
      <c r="G18" s="15"/>
      <c r="H18" s="15"/>
      <c r="I18" s="15"/>
    </row>
    <row r="19" customFormat="false" ht="15" hidden="false" customHeight="false" outlineLevel="0" collapsed="false">
      <c r="B19" s="8" t="s">
        <v>25</v>
      </c>
      <c r="D19" s="9" t="n">
        <f aca="false">SUMIFS(Datos!$J$2:$J$94,Datos!$G$2:$G$94,"Sistema",Datos!$F$2:$F$94,1)-SUMIFS(Datos!$Q$2:$Q$94,Datos!$G$2:$G$94,"Sistema",Datos!$F$2:$F$94,1)</f>
        <v>-2000</v>
      </c>
      <c r="E19" s="15" t="s">
        <v>26</v>
      </c>
      <c r="F19" s="15"/>
      <c r="G19" s="15"/>
      <c r="H19" s="15"/>
      <c r="I19" s="15"/>
    </row>
    <row r="20" customFormat="false" ht="15" hidden="false" customHeight="false" outlineLevel="0" collapsed="false">
      <c r="B20" s="8" t="s">
        <v>27</v>
      </c>
      <c r="D20" s="9" t="n">
        <f aca="false">SUMIFS(Datos!$K$2:$K$94,Datos!$G$2:$G$94,"Sistema",Datos!$F$2:$F$94,1)-SUMIFS(Datos!$R$2:$R$94,Datos!$G$2:$G$94,"Sistema",Datos!$F$2:$F$94,1)</f>
        <v>1211</v>
      </c>
      <c r="E20" s="15" t="s">
        <v>28</v>
      </c>
      <c r="F20" s="15"/>
      <c r="G20" s="15"/>
      <c r="H20" s="15"/>
      <c r="I20" s="15"/>
    </row>
    <row r="21" customFormat="false" ht="15" hidden="false" customHeight="false" outlineLevel="0" collapsed="false">
      <c r="B21" s="16" t="s">
        <v>29</v>
      </c>
      <c r="D21" s="17" t="n">
        <f aca="false">(SUMIFS(Datos!$H$2:$H$94,Datos!$G$2:$G$94,"Sistema",Datos!$F$2:$F$94,1)-SUMIFS(Datos!$I$2:$I$94,Datos!$G$2:$G$94,"Sistema",Datos!$F$2:$F$94,1)-SUMIFS(Datos!$J$2:$J$94,Datos!$G$2:$G$94,"Sistema",Datos!$F$2:$F$94,1)-SUMIFS(Datos!$K$2:$K$94,Datos!$G$2:$G$94,"Sistema",Datos!$F$2:$F$94,1))-(SUMIFS(Datos!$O$2:$O$94,Datos!$G$2:$G$94,"Sistema",Datos!$F$2:$F$94,1)-SUMIFS(Datos!$P$2:$P$94,Datos!$G$2:$G$94,"Sistema",Datos!$F$2:$F$94,1)-SUMIFS(Datos!$Q$2:$Q$94,Datos!$G$2:$G$94,"Sistema",Datos!$F$2:$F$94,1)-SUMIFS(Datos!$R$2:$R$94,Datos!$G$2:$G$94,"Sistema",Datos!$F$2:$F$94,1))</f>
        <v>884</v>
      </c>
      <c r="E21" s="18" t="s">
        <v>30</v>
      </c>
      <c r="F21" s="18"/>
      <c r="G21" s="18"/>
      <c r="H21" s="18"/>
      <c r="I21" s="18"/>
    </row>
    <row r="22" customFormat="false" ht="15" hidden="false" customHeight="false" outlineLevel="0" collapsed="false">
      <c r="B22" s="8" t="s">
        <v>31</v>
      </c>
      <c r="D22" s="9" t="n">
        <f aca="false">SUMIFS(Datos!$H$2:$H$94,Datos!$G$2:$G$94,"Manual",Datos!$F$2:$F$94,1)-SUMIFS(Datos!$O$2:$O$94,Datos!$G$2:$G$94,"Manual",Datos!$F$2:$F$94,1)</f>
        <v>-5</v>
      </c>
      <c r="E22" s="15" t="s">
        <v>32</v>
      </c>
      <c r="F22" s="15"/>
      <c r="G22" s="15"/>
      <c r="H22" s="15"/>
      <c r="I22" s="15"/>
    </row>
    <row r="23" customFormat="false" ht="15" hidden="false" customHeight="false" outlineLevel="0" collapsed="false">
      <c r="B23" s="5" t="s">
        <v>33</v>
      </c>
      <c r="D23" s="6" t="n">
        <f aca="false">SUMIFS(Datos!$H$2:$H$94,Datos!$F$2:$F$94,1)</f>
        <v>38682</v>
      </c>
      <c r="E23" s="14" t="s">
        <v>34</v>
      </c>
      <c r="F23" s="14"/>
      <c r="G23" s="14"/>
      <c r="H23" s="14"/>
      <c r="I23" s="14"/>
    </row>
    <row r="24" customFormat="false" ht="15" hidden="false" customHeight="false" outlineLevel="0" collapsed="false">
      <c r="B24" s="15" t="s">
        <v>35</v>
      </c>
      <c r="D24" s="19" t="n">
        <f aca="false">D23-(D17+D18+D19+D20+D21+D22)</f>
        <v>0</v>
      </c>
    </row>
    <row r="27" customFormat="false" ht="15" hidden="false" customHeight="false" outlineLevel="0" collapsed="false">
      <c r="B27" s="3" t="s">
        <v>36</v>
      </c>
    </row>
    <row r="28" customFormat="false" ht="30" hidden="false" customHeight="true" outlineLevel="0" collapsed="false">
      <c r="B28" s="4" t="s">
        <v>37</v>
      </c>
      <c r="C28" s="4" t="s">
        <v>19</v>
      </c>
      <c r="D28" s="4" t="s">
        <v>38</v>
      </c>
    </row>
    <row r="29" customFormat="false" ht="15" hidden="false" customHeight="false" outlineLevel="0" collapsed="false">
      <c r="B29" s="8" t="s">
        <v>39</v>
      </c>
      <c r="D29" s="9" t="n">
        <f aca="false">E6-D6</f>
        <v>-2039</v>
      </c>
      <c r="E29" s="15" t="s">
        <v>40</v>
      </c>
      <c r="F29" s="15"/>
      <c r="G29" s="15"/>
      <c r="H29" s="15"/>
      <c r="I29" s="15"/>
    </row>
    <row r="30" customFormat="false" ht="15" hidden="false" customHeight="false" outlineLevel="0" collapsed="false">
      <c r="B30" s="8" t="s">
        <v>41</v>
      </c>
      <c r="D30" s="9" t="n">
        <f aca="false">SUMPRODUCT(ABS('Por Mes'!F6:F13))</f>
        <v>7429</v>
      </c>
      <c r="E30" s="15" t="s">
        <v>42</v>
      </c>
      <c r="F30" s="15"/>
      <c r="G30" s="15"/>
      <c r="H30" s="15"/>
      <c r="I30" s="15"/>
    </row>
    <row r="31" customFormat="false" ht="15" hidden="false" customHeight="false" outlineLevel="0" collapsed="false">
      <c r="B31" s="8" t="s">
        <v>43</v>
      </c>
      <c r="D31" s="9" t="n">
        <f aca="false">SUMPRODUCT(ABS('EAN x Mes'!C6:J13))</f>
        <v>9163</v>
      </c>
      <c r="E31" s="15" t="s">
        <v>44</v>
      </c>
      <c r="F31" s="15"/>
      <c r="G31" s="15"/>
      <c r="H31" s="15"/>
      <c r="I31" s="15"/>
    </row>
    <row r="32" customFormat="false" ht="15" hidden="false" customHeight="false" outlineLevel="0" collapsed="false">
      <c r="B32" s="11" t="s">
        <v>45</v>
      </c>
      <c r="D32" s="20" t="n">
        <f aca="false">IFERROR(D30/ABS(D29),"")</f>
        <v>3.64345267287886</v>
      </c>
      <c r="E32" s="18" t="s">
        <v>46</v>
      </c>
      <c r="F32" s="18"/>
      <c r="G32" s="18"/>
      <c r="H32" s="18"/>
      <c r="I32" s="18"/>
    </row>
    <row r="35" customFormat="false" ht="15" hidden="false" customHeight="false" outlineLevel="0" collapsed="false">
      <c r="B35" s="3" t="s">
        <v>47</v>
      </c>
    </row>
    <row r="36" customFormat="false" ht="30" hidden="false" customHeight="true" outlineLevel="0" collapsed="false">
      <c r="B36" s="4" t="s">
        <v>48</v>
      </c>
      <c r="C36" s="4" t="s">
        <v>49</v>
      </c>
    </row>
    <row r="37" customFormat="false" ht="30" hidden="false" customHeight="true" outlineLevel="0" collapsed="false">
      <c r="B37" s="21" t="s">
        <v>50</v>
      </c>
      <c r="D37" s="22" t="s">
        <v>51</v>
      </c>
      <c r="E37" s="22"/>
      <c r="F37" s="22"/>
      <c r="G37" s="22"/>
      <c r="H37" s="22"/>
      <c r="I37" s="22"/>
    </row>
    <row r="38" customFormat="false" ht="30" hidden="false" customHeight="true" outlineLevel="0" collapsed="false">
      <c r="B38" s="21" t="s">
        <v>50</v>
      </c>
      <c r="D38" s="22" t="s">
        <v>52</v>
      </c>
      <c r="E38" s="22"/>
      <c r="F38" s="22"/>
      <c r="G38" s="22"/>
      <c r="H38" s="22"/>
      <c r="I38" s="22"/>
    </row>
    <row r="39" customFormat="false" ht="30" hidden="false" customHeight="true" outlineLevel="0" collapsed="false">
      <c r="B39" s="21" t="s">
        <v>50</v>
      </c>
      <c r="D39" s="22" t="s">
        <v>53</v>
      </c>
      <c r="E39" s="22"/>
      <c r="F39" s="22"/>
      <c r="G39" s="22"/>
      <c r="H39" s="22"/>
      <c r="I39" s="22"/>
    </row>
    <row r="40" customFormat="false" ht="30" hidden="false" customHeight="true" outlineLevel="0" collapsed="false">
      <c r="B40" s="21" t="s">
        <v>50</v>
      </c>
      <c r="D40" s="22" t="s">
        <v>54</v>
      </c>
      <c r="E40" s="22"/>
      <c r="F40" s="22"/>
      <c r="G40" s="22"/>
      <c r="H40" s="22"/>
      <c r="I40" s="22"/>
    </row>
    <row r="41" customFormat="false" ht="30" hidden="false" customHeight="true" outlineLevel="0" collapsed="false">
      <c r="B41" s="23" t="s">
        <v>55</v>
      </c>
      <c r="D41" s="22" t="s">
        <v>56</v>
      </c>
      <c r="E41" s="22"/>
      <c r="F41" s="22"/>
      <c r="G41" s="22"/>
      <c r="H41" s="22"/>
      <c r="I41" s="22"/>
    </row>
    <row r="42" customFormat="false" ht="30" hidden="false" customHeight="true" outlineLevel="0" collapsed="false">
      <c r="B42" s="23" t="s">
        <v>55</v>
      </c>
      <c r="D42" s="22" t="s">
        <v>57</v>
      </c>
      <c r="E42" s="22"/>
      <c r="F42" s="22"/>
      <c r="G42" s="22"/>
      <c r="H42" s="22"/>
      <c r="I42" s="22"/>
    </row>
    <row r="43" customFormat="false" ht="30" hidden="false" customHeight="true" outlineLevel="0" collapsed="false">
      <c r="B43" s="24" t="s">
        <v>58</v>
      </c>
      <c r="D43" s="22" t="s">
        <v>59</v>
      </c>
      <c r="E43" s="22"/>
      <c r="F43" s="22"/>
      <c r="G43" s="22"/>
      <c r="H43" s="22"/>
      <c r="I43" s="22"/>
    </row>
    <row r="44" customFormat="false" ht="30" hidden="false" customHeight="true" outlineLevel="0" collapsed="false">
      <c r="B44" s="24" t="s">
        <v>58</v>
      </c>
      <c r="D44" s="22" t="s">
        <v>60</v>
      </c>
      <c r="E44" s="22"/>
      <c r="F44" s="22"/>
      <c r="G44" s="22"/>
      <c r="H44" s="22"/>
      <c r="I44" s="22"/>
    </row>
  </sheetData>
  <mergeCells count="19">
    <mergeCell ref="E17:I17"/>
    <mergeCell ref="E18:I18"/>
    <mergeCell ref="E19:I19"/>
    <mergeCell ref="E20:I20"/>
    <mergeCell ref="E21:I21"/>
    <mergeCell ref="E22:I22"/>
    <mergeCell ref="E23:I23"/>
    <mergeCell ref="E29:I29"/>
    <mergeCell ref="E30:I30"/>
    <mergeCell ref="E31:I31"/>
    <mergeCell ref="E32:I32"/>
    <mergeCell ref="D37:I37"/>
    <mergeCell ref="D38:I38"/>
    <mergeCell ref="D39:I39"/>
    <mergeCell ref="D40:I40"/>
    <mergeCell ref="D41:I41"/>
    <mergeCell ref="D42:I42"/>
    <mergeCell ref="D43:I43"/>
    <mergeCell ref="D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2" min="10" style="0" width="13"/>
  </cols>
  <sheetData>
    <row r="1" customFormat="false" ht="21.75" hidden="false" customHeight="tru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30" hidden="false" customHeight="true" outlineLevel="0" collapsed="false">
      <c r="A4" s="4" t="s">
        <v>63</v>
      </c>
      <c r="B4" s="4" t="s">
        <v>64</v>
      </c>
      <c r="C4" s="4" t="s">
        <v>4</v>
      </c>
      <c r="D4" s="4" t="s">
        <v>65</v>
      </c>
      <c r="E4" s="4" t="s">
        <v>66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67</v>
      </c>
      <c r="K4" s="4" t="s">
        <v>68</v>
      </c>
      <c r="L4" s="4" t="s">
        <v>69</v>
      </c>
    </row>
    <row r="5" customFormat="false" ht="15" hidden="false" customHeight="false" outlineLevel="0" collapsed="false">
      <c r="A5" s="2" t="s">
        <v>70</v>
      </c>
    </row>
    <row r="6" customFormat="false" ht="15" hidden="false" customHeight="false" outlineLevel="0" collapsed="false">
      <c r="A6" s="25" t="s">
        <v>71</v>
      </c>
      <c r="B6" s="26" t="s">
        <v>72</v>
      </c>
      <c r="C6" s="9" t="n">
        <f aca="false">SUMIFS(Datos!$T$2:$T$94,Datos!$D$2:$D$94,"2026.M09")</f>
        <v>5552</v>
      </c>
      <c r="D6" s="9" t="n">
        <f aca="false">SUMIFS(Datos!$O$2:$O$94,Datos!$D$2:$D$94,"2026.M09")</f>
        <v>6409</v>
      </c>
      <c r="E6" s="9" t="n">
        <f aca="false">SUMIFS(Datos!$H$2:$H$94,Datos!$D$2:$D$94,"2026.M09")</f>
        <v>7992</v>
      </c>
      <c r="F6" s="9" t="n">
        <f aca="false">E6-D6</f>
        <v>1583</v>
      </c>
      <c r="G6" s="10" t="n">
        <f aca="false">IFERROR(E6/D6-1,"")</f>
        <v>0.246996411296614</v>
      </c>
      <c r="H6" s="9" t="n">
        <f aca="false">E6-C6</f>
        <v>2440</v>
      </c>
      <c r="I6" s="10" t="n">
        <f aca="false">IFERROR(E6/C6-1,"")</f>
        <v>0.439481268011527</v>
      </c>
      <c r="J6" s="9" t="n">
        <f aca="false">SUMIFS(Datos!$I$2:$I$94,Datos!$D$2:$D$94,"2026.M09")</f>
        <v>6922</v>
      </c>
      <c r="K6" s="9" t="n">
        <f aca="false">SUMIFS(Datos!$P$2:$P$94,Datos!$D$2:$D$94,"2026.M09")</f>
        <v>5461</v>
      </c>
      <c r="L6" s="9" t="n">
        <f aca="false">J6-K6</f>
        <v>1461</v>
      </c>
    </row>
    <row r="7" customFormat="false" ht="15" hidden="false" customHeight="false" outlineLevel="0" collapsed="false">
      <c r="A7" s="25" t="s">
        <v>73</v>
      </c>
      <c r="B7" s="26" t="s">
        <v>74</v>
      </c>
      <c r="C7" s="9" t="n">
        <f aca="false">SUMIFS(Datos!$T$2:$T$94,Datos!$D$2:$D$94,"2026.M10")</f>
        <v>5835</v>
      </c>
      <c r="D7" s="9" t="n">
        <f aca="false">SUMIFS(Datos!$O$2:$O$94,Datos!$D$2:$D$94,"2026.M10")</f>
        <v>5404</v>
      </c>
      <c r="E7" s="9" t="n">
        <f aca="false">SUMIFS(Datos!$H$2:$H$94,Datos!$D$2:$D$94,"2026.M10")</f>
        <v>4103</v>
      </c>
      <c r="F7" s="9" t="n">
        <f aca="false">E7-D7</f>
        <v>-1301</v>
      </c>
      <c r="G7" s="10" t="n">
        <f aca="false">IFERROR(E7/D7-1,"")</f>
        <v>-0.240747594374537</v>
      </c>
      <c r="H7" s="9" t="n">
        <f aca="false">E7-C7</f>
        <v>-1732</v>
      </c>
      <c r="I7" s="10" t="n">
        <f aca="false">IFERROR(E7/C7-1,"")</f>
        <v>-0.296829477292202</v>
      </c>
      <c r="J7" s="9" t="n">
        <f aca="false">SUMIFS(Datos!$I$2:$I$94,Datos!$D$2:$D$94,"2026.M10")</f>
        <v>3693</v>
      </c>
      <c r="K7" s="9" t="n">
        <f aca="false">SUMIFS(Datos!$P$2:$P$94,Datos!$D$2:$D$94,"2026.M10")</f>
        <v>5666</v>
      </c>
      <c r="L7" s="9" t="n">
        <f aca="false">J7-K7</f>
        <v>-1973</v>
      </c>
    </row>
    <row r="8" customFormat="false" ht="15" hidden="false" customHeight="false" outlineLevel="0" collapsed="false">
      <c r="A8" s="25" t="s">
        <v>75</v>
      </c>
      <c r="B8" s="26" t="s">
        <v>74</v>
      </c>
      <c r="C8" s="9" t="n">
        <f aca="false">SUMIFS(Datos!$T$2:$T$94,Datos!$D$2:$D$94,"2026.M11")</f>
        <v>3197</v>
      </c>
      <c r="D8" s="9" t="n">
        <f aca="false">SUMIFS(Datos!$O$2:$O$94,Datos!$D$2:$D$94,"2026.M11")</f>
        <v>4300</v>
      </c>
      <c r="E8" s="9" t="n">
        <f aca="false">SUMIFS(Datos!$H$2:$H$94,Datos!$D$2:$D$94,"2026.M11")</f>
        <v>4692</v>
      </c>
      <c r="F8" s="9" t="n">
        <f aca="false">E8-D8</f>
        <v>392</v>
      </c>
      <c r="G8" s="10" t="n">
        <f aca="false">IFERROR(E8/D8-1,"")</f>
        <v>0.0911627906976744</v>
      </c>
      <c r="H8" s="9" t="n">
        <f aca="false">E8-C8</f>
        <v>1495</v>
      </c>
      <c r="I8" s="10" t="n">
        <f aca="false">IFERROR(E8/C8-1,"")</f>
        <v>0.467625899280576</v>
      </c>
      <c r="J8" s="9" t="n">
        <f aca="false">SUMIFS(Datos!$I$2:$I$94,Datos!$D$2:$D$94,"2026.M11")</f>
        <v>4602</v>
      </c>
      <c r="K8" s="9" t="n">
        <f aca="false">SUMIFS(Datos!$P$2:$P$94,Datos!$D$2:$D$94,"2026.M11")</f>
        <v>4705</v>
      </c>
      <c r="L8" s="9" t="n">
        <f aca="false">J8-K8</f>
        <v>-103</v>
      </c>
    </row>
    <row r="9" customFormat="false" ht="15" hidden="false" customHeight="false" outlineLevel="0" collapsed="false">
      <c r="A9" s="25" t="s">
        <v>76</v>
      </c>
      <c r="B9" s="26" t="s">
        <v>74</v>
      </c>
      <c r="C9" s="9" t="n">
        <f aca="false">SUMIFS(Datos!$T$2:$T$94,Datos!$D$2:$D$94,"2026.M12")</f>
        <v>3799</v>
      </c>
      <c r="D9" s="9" t="n">
        <f aca="false">SUMIFS(Datos!$O$2:$O$94,Datos!$D$2:$D$94,"2026.M12")</f>
        <v>4587</v>
      </c>
      <c r="E9" s="9" t="n">
        <f aca="false">SUMIFS(Datos!$H$2:$H$94,Datos!$D$2:$D$94,"2026.M12")</f>
        <v>5187</v>
      </c>
      <c r="F9" s="9" t="n">
        <f aca="false">E9-D9</f>
        <v>600</v>
      </c>
      <c r="G9" s="10" t="n">
        <f aca="false">IFERROR(E9/D9-1,"")</f>
        <v>0.13080444735121</v>
      </c>
      <c r="H9" s="9" t="n">
        <f aca="false">E9-C9</f>
        <v>1388</v>
      </c>
      <c r="I9" s="10" t="n">
        <f aca="false">IFERROR(E9/C9-1,"")</f>
        <v>0.365359305080284</v>
      </c>
      <c r="J9" s="9" t="n">
        <f aca="false">SUMIFS(Datos!$I$2:$I$94,Datos!$D$2:$D$94,"2026.M12")</f>
        <v>5455</v>
      </c>
      <c r="K9" s="9" t="n">
        <f aca="false">SUMIFS(Datos!$P$2:$P$94,Datos!$D$2:$D$94,"2026.M12")</f>
        <v>3102</v>
      </c>
      <c r="L9" s="9" t="n">
        <f aca="false">J9-K9</f>
        <v>2353</v>
      </c>
    </row>
    <row r="10" customFormat="false" ht="15" hidden="false" customHeight="false" outlineLevel="0" collapsed="false">
      <c r="A10" s="25" t="s">
        <v>77</v>
      </c>
      <c r="B10" s="26" t="s">
        <v>78</v>
      </c>
      <c r="C10" s="9" t="n">
        <f aca="false">SUMIFS(Datos!$T$2:$T$94,Datos!$D$2:$D$94,"2027.M01")</f>
        <v>4289</v>
      </c>
      <c r="D10" s="9" t="n">
        <f aca="false">SUMIFS(Datos!$O$2:$O$94,Datos!$D$2:$D$94,"2027.M01")</f>
        <v>4023</v>
      </c>
      <c r="E10" s="9" t="n">
        <f aca="false">SUMIFS(Datos!$H$2:$H$94,Datos!$D$2:$D$94,"2027.M01")</f>
        <v>4143</v>
      </c>
      <c r="F10" s="9" t="n">
        <f aca="false">E10-D10</f>
        <v>120</v>
      </c>
      <c r="G10" s="10" t="n">
        <f aca="false">IFERROR(E10/D10-1,"")</f>
        <v>0.0298284862043252</v>
      </c>
      <c r="H10" s="9" t="n">
        <f aca="false">E10-C10</f>
        <v>-146</v>
      </c>
      <c r="I10" s="10" t="n">
        <f aca="false">IFERROR(E10/C10-1,"")</f>
        <v>-0.0340405688971789</v>
      </c>
      <c r="J10" s="9" t="n">
        <f aca="false">SUMIFS(Datos!$I$2:$I$94,Datos!$D$2:$D$94,"2027.M01")</f>
        <v>5426</v>
      </c>
      <c r="K10" s="9" t="n">
        <f aca="false">SUMIFS(Datos!$P$2:$P$94,Datos!$D$2:$D$94,"2027.M01")</f>
        <v>3819</v>
      </c>
      <c r="L10" s="9" t="n">
        <f aca="false">J10-K10</f>
        <v>1607</v>
      </c>
    </row>
    <row r="11" customFormat="false" ht="15" hidden="false" customHeight="false" outlineLevel="0" collapsed="false">
      <c r="A11" s="25" t="s">
        <v>79</v>
      </c>
      <c r="B11" s="26" t="s">
        <v>78</v>
      </c>
      <c r="C11" s="9" t="n">
        <f aca="false">SUMIFS(Datos!$T$2:$T$94,Datos!$D$2:$D$94,"2027.M02")</f>
        <v>23589</v>
      </c>
      <c r="D11" s="9" t="n">
        <f aca="false">SUMIFS(Datos!$O$2:$O$94,Datos!$D$2:$D$94,"2027.M02")</f>
        <v>5430</v>
      </c>
      <c r="E11" s="9" t="n">
        <f aca="false">SUMIFS(Datos!$H$2:$H$94,Datos!$D$2:$D$94,"2027.M02")</f>
        <v>5114</v>
      </c>
      <c r="F11" s="9" t="n">
        <f aca="false">E11-D11</f>
        <v>-316</v>
      </c>
      <c r="G11" s="10" t="n">
        <f aca="false">IFERROR(E11/D11-1,"")</f>
        <v>-0.058195211786372</v>
      </c>
      <c r="H11" s="9" t="n">
        <f aca="false">E11-C11</f>
        <v>-18475</v>
      </c>
      <c r="I11" s="10" t="n">
        <f aca="false">IFERROR(E11/C11-1,"")</f>
        <v>-0.783204035779389</v>
      </c>
      <c r="J11" s="9" t="n">
        <f aca="false">SUMIFS(Datos!$I$2:$I$94,Datos!$D$2:$D$94,"2027.M02")</f>
        <v>5628</v>
      </c>
      <c r="K11" s="9" t="n">
        <f aca="false">SUMIFS(Datos!$P$2:$P$94,Datos!$D$2:$D$94,"2027.M02")</f>
        <v>6157</v>
      </c>
      <c r="L11" s="9" t="n">
        <f aca="false">J11-K11</f>
        <v>-529</v>
      </c>
    </row>
    <row r="12" customFormat="false" ht="15" hidden="false" customHeight="false" outlineLevel="0" collapsed="false">
      <c r="A12" s="25" t="s">
        <v>80</v>
      </c>
      <c r="B12" s="26" t="s">
        <v>78</v>
      </c>
      <c r="C12" s="9" t="n">
        <f aca="false">SUMIFS(Datos!$T$2:$T$94,Datos!$D$2:$D$94,"2027.M03")</f>
        <v>6879.00000000003</v>
      </c>
      <c r="D12" s="9" t="n">
        <f aca="false">SUMIFS(Datos!$O$2:$O$94,Datos!$D$2:$D$94,"2027.M03")</f>
        <v>6731</v>
      </c>
      <c r="E12" s="9" t="n">
        <f aca="false">SUMIFS(Datos!$H$2:$H$94,Datos!$D$2:$D$94,"2027.M03")</f>
        <v>4844</v>
      </c>
      <c r="F12" s="9" t="n">
        <f aca="false">E12-D12</f>
        <v>-1887</v>
      </c>
      <c r="G12" s="10" t="n">
        <f aca="false">IFERROR(E12/D12-1,"")</f>
        <v>-0.280344673896895</v>
      </c>
      <c r="H12" s="9" t="n">
        <f aca="false">E12-C12</f>
        <v>-2035.00000000003</v>
      </c>
      <c r="I12" s="10" t="n">
        <f aca="false">IFERROR(E12/C12-1,"")</f>
        <v>-0.295827881959591</v>
      </c>
      <c r="J12" s="9" t="n">
        <f aca="false">SUMIFS(Datos!$I$2:$I$94,Datos!$D$2:$D$94,"2027.M03")</f>
        <v>5261</v>
      </c>
      <c r="K12" s="9" t="n">
        <f aca="false">SUMIFS(Datos!$P$2:$P$94,Datos!$D$2:$D$94,"2027.M03")</f>
        <v>7689</v>
      </c>
      <c r="L12" s="9" t="n">
        <f aca="false">J12-K12</f>
        <v>-2428</v>
      </c>
    </row>
    <row r="13" customFormat="false" ht="15" hidden="false" customHeight="false" outlineLevel="0" collapsed="false">
      <c r="A13" s="25" t="s">
        <v>81</v>
      </c>
      <c r="B13" s="26" t="s">
        <v>82</v>
      </c>
      <c r="C13" s="9" t="n">
        <f aca="false">SUMIFS(Datos!$T$2:$T$94,Datos!$D$2:$D$94,"2027.M04")</f>
        <v>3298</v>
      </c>
      <c r="D13" s="9" t="n">
        <f aca="false">SUMIFS(Datos!$O$2:$O$94,Datos!$D$2:$D$94,"2027.M04")</f>
        <v>3837</v>
      </c>
      <c r="E13" s="9" t="n">
        <f aca="false">SUMIFS(Datos!$H$2:$H$94,Datos!$D$2:$D$94,"2027.M04")</f>
        <v>2607</v>
      </c>
      <c r="F13" s="9" t="n">
        <f aca="false">E13-D13</f>
        <v>-1230</v>
      </c>
      <c r="G13" s="10" t="n">
        <f aca="false">IFERROR(E13/D13-1,"")</f>
        <v>-0.320562939796716</v>
      </c>
      <c r="H13" s="9" t="n">
        <f aca="false">E13-C13</f>
        <v>-691</v>
      </c>
      <c r="I13" s="10" t="n">
        <f aca="false">IFERROR(E13/C13-1,"")</f>
        <v>-0.20952092177077</v>
      </c>
      <c r="J13" s="9" t="n">
        <f aca="false">SUMIFS(Datos!$I$2:$I$94,Datos!$D$2:$D$94,"2027.M04")</f>
        <v>2711</v>
      </c>
      <c r="K13" s="9" t="n">
        <f aca="false">SUMIFS(Datos!$P$2:$P$94,Datos!$D$2:$D$94,"2027.M04")</f>
        <v>5810</v>
      </c>
      <c r="L13" s="9" t="n">
        <f aca="false">J13-K13</f>
        <v>-3099</v>
      </c>
    </row>
    <row r="14" customFormat="false" ht="15" hidden="false" customHeight="false" outlineLevel="0" collapsed="false">
      <c r="A14" s="5" t="s">
        <v>83</v>
      </c>
      <c r="B14" s="27"/>
      <c r="C14" s="6" t="n">
        <f aca="false">SUM(C6:C13)</f>
        <v>56438</v>
      </c>
      <c r="D14" s="6" t="n">
        <f aca="false">SUM(D6:D13)</f>
        <v>40721</v>
      </c>
      <c r="E14" s="6" t="n">
        <f aca="false">SUM(E6:E13)</f>
        <v>38682</v>
      </c>
      <c r="F14" s="6" t="n">
        <f aca="false">E14-D14</f>
        <v>-2039</v>
      </c>
      <c r="G14" s="7" t="n">
        <f aca="false">IFERROR(E14/D14-1,"")</f>
        <v>-0.0500724441934137</v>
      </c>
      <c r="H14" s="6" t="n">
        <f aca="false">E14-C14</f>
        <v>-17756</v>
      </c>
      <c r="I14" s="7" t="n">
        <f aca="false">IFERROR(E14/C14-1,"")</f>
        <v>-0.314610723271555</v>
      </c>
      <c r="J14" s="6" t="n">
        <f aca="false">SUM(J6:J13)</f>
        <v>39698</v>
      </c>
      <c r="K14" s="6" t="n">
        <f aca="false">SUM(K6:K13)</f>
        <v>42409</v>
      </c>
      <c r="L14" s="6" t="n">
        <f aca="false">SUM(L6:L13)</f>
        <v>-2711</v>
      </c>
    </row>
    <row r="16" customFormat="false" ht="15" hidden="false" customHeight="false" outlineLevel="0" collapsed="false">
      <c r="A16" s="3" t="s">
        <v>84</v>
      </c>
    </row>
    <row r="17" customFormat="false" ht="30" hidden="false" customHeight="true" outlineLevel="0" collapsed="false">
      <c r="A17" s="4" t="s">
        <v>63</v>
      </c>
      <c r="B17" s="4" t="s">
        <v>64</v>
      </c>
      <c r="C17" s="4" t="s">
        <v>4</v>
      </c>
      <c r="D17" s="4" t="s">
        <v>65</v>
      </c>
      <c r="E17" s="4" t="s">
        <v>66</v>
      </c>
      <c r="F17" s="4" t="s">
        <v>7</v>
      </c>
      <c r="G17" s="4" t="s">
        <v>8</v>
      </c>
      <c r="H17" s="4" t="s">
        <v>9</v>
      </c>
      <c r="I17" s="4" t="s">
        <v>10</v>
      </c>
      <c r="J17" s="4" t="s">
        <v>67</v>
      </c>
      <c r="K17" s="4" t="s">
        <v>68</v>
      </c>
      <c r="L17" s="4" t="s">
        <v>69</v>
      </c>
    </row>
    <row r="18" customFormat="false" ht="15" hidden="false" customHeight="false" outlineLevel="0" collapsed="false">
      <c r="A18" s="8" t="s">
        <v>85</v>
      </c>
      <c r="B18" s="26" t="s">
        <v>86</v>
      </c>
      <c r="C18" s="9" t="n">
        <f aca="false">SUMIFS(Datos!$T$2:$T$94,Datos!$D$2:$D$94,"2026.M07")</f>
        <v>5747</v>
      </c>
      <c r="D18" s="9" t="n">
        <f aca="false">SUMIFS(Datos!$O$2:$O$94,Datos!$D$2:$D$94,"2026.M07")</f>
        <v>8747</v>
      </c>
      <c r="E18" s="9" t="n">
        <f aca="false">SUMIFS(Datos!$H$2:$H$94,Datos!$D$2:$D$94,"2026.M07")</f>
        <v>8747</v>
      </c>
      <c r="F18" s="9" t="n">
        <f aca="false">E18-D18</f>
        <v>0</v>
      </c>
      <c r="G18" s="10" t="n">
        <f aca="false">IFERROR(E18/D18-1,"")</f>
        <v>0</v>
      </c>
      <c r="H18" s="9" t="n">
        <f aca="false">E18-C18</f>
        <v>3000</v>
      </c>
      <c r="I18" s="10" t="n">
        <f aca="false">IFERROR(E18/C18-1,"")</f>
        <v>0.522011484252654</v>
      </c>
      <c r="J18" s="9" t="n">
        <f aca="false">SUMIFS(Datos!$I$2:$I$94,Datos!$D$2:$D$94,"2026.M07")</f>
        <v>8747</v>
      </c>
      <c r="K18" s="9" t="n">
        <f aca="false">SUMIFS(Datos!$P$2:$P$94,Datos!$D$2:$D$94,"2026.M07")</f>
        <v>8747</v>
      </c>
      <c r="L18" s="9" t="n">
        <f aca="false">J18-K18</f>
        <v>0</v>
      </c>
    </row>
    <row r="19" customFormat="false" ht="15" hidden="false" customHeight="false" outlineLevel="0" collapsed="false">
      <c r="A19" s="8" t="s">
        <v>87</v>
      </c>
      <c r="B19" s="26" t="s">
        <v>72</v>
      </c>
      <c r="C19" s="9" t="n">
        <f aca="false">SUMIFS(Datos!$T$2:$T$94,Datos!$D$2:$D$94,"2026.M08")</f>
        <v>2528</v>
      </c>
      <c r="D19" s="9" t="n">
        <f aca="false">SUMIFS(Datos!$O$2:$O$94,Datos!$D$2:$D$94,"2026.M08")</f>
        <v>9871.33333333333</v>
      </c>
      <c r="E19" s="9" t="n">
        <f aca="false">SUMIFS(Datos!$H$2:$H$94,Datos!$D$2:$D$94,"2026.M08")</f>
        <v>7293</v>
      </c>
      <c r="F19" s="9" t="n">
        <f aca="false">E19-D19</f>
        <v>-2578.33333333333</v>
      </c>
      <c r="G19" s="10" t="n">
        <f aca="false">IFERROR(E19/D19-1,"")</f>
        <v>-0.261194029850746</v>
      </c>
      <c r="H19" s="9" t="n">
        <f aca="false">E19-C19</f>
        <v>4765</v>
      </c>
      <c r="I19" s="10" t="n">
        <f aca="false">IFERROR(E19/C19-1,"")</f>
        <v>1.88488924050633</v>
      </c>
      <c r="J19" s="9" t="n">
        <f aca="false">SUMIFS(Datos!$I$2:$I$94,Datos!$D$2:$D$94,"2026.M08")</f>
        <v>7293</v>
      </c>
      <c r="K19" s="9" t="n">
        <f aca="false">SUMIFS(Datos!$P$2:$P$94,Datos!$D$2:$D$94,"2026.M08")</f>
        <v>8321</v>
      </c>
      <c r="L19" s="9" t="n">
        <f aca="false">J19-K19</f>
        <v>-1028</v>
      </c>
    </row>
    <row r="20" customFormat="false" ht="15" hidden="false" customHeight="false" outlineLevel="0" collapsed="false">
      <c r="A20" s="8" t="s">
        <v>88</v>
      </c>
      <c r="B20" s="26" t="s">
        <v>82</v>
      </c>
      <c r="C20" s="9" t="n">
        <f aca="false">SUMIFS(Datos!$T$2:$T$94,Datos!$D$2:$D$94,"2027.M05")</f>
        <v>5335</v>
      </c>
      <c r="D20" s="9" t="n">
        <f aca="false">SUMIFS(Datos!$O$2:$O$94,Datos!$D$2:$D$94,"2027.M05")</f>
        <v>5309</v>
      </c>
      <c r="E20" s="9" t="n">
        <f aca="false">SUMIFS(Datos!$H$2:$H$94,Datos!$D$2:$D$94,"2027.M05")</f>
        <v>4362</v>
      </c>
      <c r="F20" s="9" t="n">
        <f aca="false">E20-D20</f>
        <v>-947</v>
      </c>
      <c r="G20" s="10" t="n">
        <f aca="false">IFERROR(E20/D20-1,"")</f>
        <v>-0.178376342060652</v>
      </c>
      <c r="H20" s="9" t="n">
        <f aca="false">E20-C20</f>
        <v>-973</v>
      </c>
      <c r="I20" s="10" t="n">
        <f aca="false">IFERROR(E20/C20-1,"")</f>
        <v>-0.182380506091846</v>
      </c>
      <c r="J20" s="9" t="n">
        <f aca="false">SUMIFS(Datos!$I$2:$I$94,Datos!$D$2:$D$94,"2027.M05")</f>
        <v>4757</v>
      </c>
      <c r="K20" s="9" t="n">
        <f aca="false">SUMIFS(Datos!$P$2:$P$94,Datos!$D$2:$D$94,"2027.M05")</f>
        <v>6007</v>
      </c>
      <c r="L20" s="9" t="n">
        <f aca="false">J20-K20</f>
        <v>-1250</v>
      </c>
    </row>
    <row r="21" customFormat="false" ht="15" hidden="false" customHeight="false" outlineLevel="0" collapsed="false">
      <c r="A21" s="8" t="s">
        <v>89</v>
      </c>
      <c r="B21" s="26" t="s">
        <v>82</v>
      </c>
      <c r="C21" s="9" t="n">
        <f aca="false">SUMIFS(Datos!$T$2:$T$94,Datos!$D$2:$D$94,"2027.M06")</f>
        <v>4019</v>
      </c>
      <c r="D21" s="9" t="n">
        <f aca="false">SUMIFS(Datos!$O$2:$O$94,Datos!$D$2:$D$94,"2027.M06")</f>
        <v>5673</v>
      </c>
      <c r="E21" s="9" t="n">
        <f aca="false">SUMIFS(Datos!$H$2:$H$94,Datos!$D$2:$D$94,"2027.M06")</f>
        <v>5435</v>
      </c>
      <c r="F21" s="9" t="n">
        <f aca="false">E21-D21</f>
        <v>-238</v>
      </c>
      <c r="G21" s="10" t="n">
        <f aca="false">IFERROR(E21/D21-1,"")</f>
        <v>-0.0419531112286269</v>
      </c>
      <c r="H21" s="9" t="n">
        <f aca="false">E21-C21</f>
        <v>1416</v>
      </c>
      <c r="I21" s="10" t="n">
        <f aca="false">IFERROR(E21/C21-1,"")</f>
        <v>0.352326449365514</v>
      </c>
      <c r="J21" s="9" t="n">
        <f aca="false">SUMIFS(Datos!$I$2:$I$94,Datos!$D$2:$D$94,"2027.M06")</f>
        <v>6389</v>
      </c>
      <c r="K21" s="9" t="n">
        <f aca="false">SUMIFS(Datos!$P$2:$P$94,Datos!$D$2:$D$94,"2027.M06")</f>
        <v>6072</v>
      </c>
      <c r="L21" s="9" t="n">
        <f aca="false">J21-K21</f>
        <v>317</v>
      </c>
    </row>
    <row r="23" customFormat="false" ht="15" hidden="false" customHeight="false" outlineLevel="0" collapsed="false">
      <c r="A23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0" min="2" style="0" width="12"/>
    <col collapsed="false" customWidth="true" hidden="false" outlineLevel="0" max="12" min="11" style="0" width="17"/>
  </cols>
  <sheetData>
    <row r="1" customFormat="false" ht="21.75" hidden="false" customHeight="tru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30" hidden="false" customHeight="true" outlineLevel="0" collapsed="false">
      <c r="A4" s="4" t="s">
        <v>93</v>
      </c>
      <c r="B4" s="4" t="s">
        <v>94</v>
      </c>
      <c r="C4" s="4" t="s">
        <v>4</v>
      </c>
      <c r="D4" s="4" t="s">
        <v>65</v>
      </c>
      <c r="E4" s="4" t="s">
        <v>66</v>
      </c>
      <c r="F4" s="4" t="s">
        <v>95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96</v>
      </c>
      <c r="L4" s="4" t="s">
        <v>97</v>
      </c>
    </row>
    <row r="5" customFormat="false" ht="15" hidden="false" customHeight="false" outlineLevel="0" collapsed="false">
      <c r="A5" s="25" t="s">
        <v>98</v>
      </c>
      <c r="B5" s="28" t="n">
        <v>4</v>
      </c>
      <c r="C5" s="9" t="n">
        <f aca="false">SUMIFS(Datos!$T$2:$T$94,Datos!$A$2:$A$94,"Accesories (00006010)",Datos!$F$2:$F$94,1)</f>
        <v>37826</v>
      </c>
      <c r="D5" s="9" t="n">
        <f aca="false">SUMIFS(Datos!$O$2:$O$94,Datos!$A$2:$A$94,"Accesories (00006010)",Datos!$F$2:$F$94,1)</f>
        <v>31528</v>
      </c>
      <c r="E5" s="9" t="n">
        <f aca="false">SUMIFS(Datos!$H$2:$H$94,Datos!$A$2:$A$94,"Accesories (00006010)",Datos!$F$2:$F$94,1)</f>
        <v>29494</v>
      </c>
      <c r="F5" s="10" t="n">
        <f aca="false">IFERROR(E5/E$99,"")</f>
        <v>0.762473501887183</v>
      </c>
      <c r="G5" s="9" t="n">
        <f aca="false">E5-D5</f>
        <v>-2034</v>
      </c>
      <c r="H5" s="10" t="n">
        <f aca="false">IFERROR(E5/D5-1,"")</f>
        <v>-0.0645140827201218</v>
      </c>
      <c r="I5" s="9" t="n">
        <f aca="false">E5-C5</f>
        <v>-8332</v>
      </c>
      <c r="J5" s="10" t="n">
        <f aca="false">IFERROR(E5/C5-1,"")</f>
        <v>-0.220271770739703</v>
      </c>
      <c r="K5" s="9" t="n">
        <f aca="false">SUMIFS(Datos!$H$2:$H$94,Datos!$A$2:$A$94,"Accesories (00006010)",Datos!$D$2:$D$94,"&lt;&gt;2027.M02",Datos!$F$2:$F$94,1)-SUMIFS(Datos!$T$2:$T$94,Datos!$A$2:$A$94,"Accesories (00006010)",Datos!$D$2:$D$94,"&lt;&gt;2027.M02",Datos!$F$2:$F$94,1)</f>
        <v>-5856</v>
      </c>
      <c r="L5" s="10" t="n">
        <f aca="false">IFERROR(G5/$G$99,"")</f>
        <v>0.997547817557626</v>
      </c>
    </row>
    <row r="6" customFormat="false" ht="15" hidden="false" customHeight="false" outlineLevel="0" collapsed="false">
      <c r="A6" s="25" t="s">
        <v>99</v>
      </c>
      <c r="B6" s="28" t="n">
        <v>3</v>
      </c>
      <c r="C6" s="9" t="n">
        <f aca="false">SUMIFS(Datos!$T$2:$T$94,Datos!$A$2:$A$94,"Face Multi (00006011)",Datos!$F$2:$F$94,1)</f>
        <v>18473</v>
      </c>
      <c r="D6" s="9" t="n">
        <f aca="false">SUMIFS(Datos!$O$2:$O$94,Datos!$A$2:$A$94,"Face Multi (00006011)",Datos!$F$2:$F$94,1)</f>
        <v>9193</v>
      </c>
      <c r="E6" s="9" t="n">
        <f aca="false">SUMIFS(Datos!$H$2:$H$94,Datos!$A$2:$A$94,"Face Multi (00006011)",Datos!$F$2:$F$94,1)</f>
        <v>9188</v>
      </c>
      <c r="F6" s="10" t="n">
        <f aca="false">IFERROR(E6/E$99,"")</f>
        <v>0.237526498112817</v>
      </c>
      <c r="G6" s="9" t="n">
        <f aca="false">E6-D6</f>
        <v>-5</v>
      </c>
      <c r="H6" s="10" t="n">
        <f aca="false">IFERROR(E6/D6-1,"")</f>
        <v>-0.00054389209180894</v>
      </c>
      <c r="I6" s="9" t="n">
        <f aca="false">E6-C6</f>
        <v>-9285.00000000003</v>
      </c>
      <c r="J6" s="10" t="n">
        <f aca="false">IFERROR(E6/C6-1,"")</f>
        <v>-0.502625453364371</v>
      </c>
      <c r="K6" s="9" t="n">
        <f aca="false">SUMIFS(Datos!$H$2:$H$94,Datos!$A$2:$A$94,"Face Multi (00006011)",Datos!$D$2:$D$94,"&lt;&gt;2027.M02",Datos!$F$2:$F$94,1)-SUMIFS(Datos!$T$2:$T$94,Datos!$A$2:$A$94,"Face Multi (00006011)",Datos!$D$2:$D$94,"&lt;&gt;2027.M02",Datos!$F$2:$F$94,1)</f>
        <v>6692.99999999997</v>
      </c>
      <c r="L6" s="10" t="n">
        <f aca="false">IFERROR(G6/$G$99,"")</f>
        <v>0.00245218244237371</v>
      </c>
    </row>
    <row r="7" customFormat="false" ht="15" hidden="false" customHeight="false" outlineLevel="0" collapsed="false">
      <c r="A7" s="25" t="s">
        <v>100</v>
      </c>
      <c r="B7" s="28" t="n">
        <v>1</v>
      </c>
      <c r="C7" s="9" t="n">
        <f aca="false">SUMIFS(Datos!$T$2:$T$94,Datos!$A$2:$A$94,"Kylie Eye Brushes (00006121)",Datos!$F$2:$F$94,1)</f>
        <v>139</v>
      </c>
      <c r="D7" s="9" t="n">
        <f aca="false">SUMIFS(Datos!$O$2:$O$94,Datos!$A$2:$A$94,"Kylie Eye Brushes (00006121)",Datos!$F$2:$F$94,1)</f>
        <v>0</v>
      </c>
      <c r="E7" s="9" t="n">
        <f aca="false">SUMIFS(Datos!$H$2:$H$94,Datos!$A$2:$A$94,"Kylie Eye Brushes (00006121)",Datos!$F$2:$F$94,1)</f>
        <v>0</v>
      </c>
      <c r="F7" s="10" t="n">
        <f aca="false">IFERROR(E7/E$99,"")</f>
        <v>0</v>
      </c>
      <c r="G7" s="9" t="n">
        <f aca="false">E7-D7</f>
        <v>0</v>
      </c>
      <c r="H7" s="10" t="str">
        <f aca="false">IFERROR(E7/D7-1,"")</f>
        <v/>
      </c>
      <c r="I7" s="9" t="n">
        <f aca="false">E7-C7</f>
        <v>-139</v>
      </c>
      <c r="J7" s="10" t="n">
        <f aca="false">IFERROR(E7/C7-1,"")</f>
        <v>-1</v>
      </c>
      <c r="K7" s="9" t="n">
        <f aca="false">SUMIFS(Datos!$H$2:$H$94,Datos!$A$2:$A$94,"Kylie Eye Brushes (00006121)",Datos!$D$2:$D$94,"&lt;&gt;2027.M02",Datos!$F$2:$F$94,1)-SUMIFS(Datos!$T$2:$T$94,Datos!$A$2:$A$94,"Kylie Eye Brushes (00006121)",Datos!$D$2:$D$94,"&lt;&gt;2027.M02",Datos!$F$2:$F$94,1)</f>
        <v>-118</v>
      </c>
      <c r="L7" s="10" t="n">
        <f aca="false">IFERROR(G7/$G$99,"")</f>
        <v>-0</v>
      </c>
    </row>
    <row r="8" customFormat="false" ht="15" hidden="false" customHeight="false" outlineLevel="0" collapsed="false">
      <c r="A8" s="5" t="s">
        <v>101</v>
      </c>
      <c r="B8" s="29" t="n">
        <f aca="false">SUM(B5:B7)</f>
        <v>8</v>
      </c>
      <c r="C8" s="6" t="n">
        <f aca="false">SUM(C5:C7)</f>
        <v>56438</v>
      </c>
      <c r="D8" s="6" t="n">
        <f aca="false">SUM(D5:D7)</f>
        <v>40721</v>
      </c>
      <c r="E8" s="6" t="n">
        <f aca="false">SUM(E5:E7)</f>
        <v>38682</v>
      </c>
      <c r="F8" s="7" t="n">
        <f aca="false">IFERROR(E8/E$99,"")</f>
        <v>1</v>
      </c>
      <c r="G8" s="6" t="n">
        <f aca="false">SUM(G5:G7)</f>
        <v>-2039</v>
      </c>
      <c r="H8" s="7" t="n">
        <f aca="false">IFERROR(E8/D8-1,"")</f>
        <v>-0.0500724441934137</v>
      </c>
      <c r="I8" s="6" t="n">
        <f aca="false">SUM(I5:I7)</f>
        <v>-17756</v>
      </c>
      <c r="J8" s="7" t="n">
        <f aca="false">IFERROR(E8/C8-1,"")</f>
        <v>-0.314610723271555</v>
      </c>
      <c r="K8" s="6" t="n">
        <f aca="false">SUM(K5:K7)</f>
        <v>718.999999999967</v>
      </c>
      <c r="L8" s="7" t="n">
        <f aca="false">IFERROR(G8/$G$99,"")</f>
        <v>1</v>
      </c>
    </row>
    <row r="10" customFormat="false" ht="15" hidden="false" customHeight="false" outlineLevel="0" collapsed="false">
      <c r="A10" s="3" t="s">
        <v>102</v>
      </c>
    </row>
    <row r="11" customFormat="false" ht="30" hidden="false" customHeight="true" outlineLevel="0" collapsed="false">
      <c r="A11" s="4" t="s">
        <v>93</v>
      </c>
      <c r="B11" s="4" t="s">
        <v>71</v>
      </c>
      <c r="C11" s="4" t="s">
        <v>73</v>
      </c>
      <c r="D11" s="4" t="s">
        <v>75</v>
      </c>
      <c r="E11" s="4" t="s">
        <v>76</v>
      </c>
      <c r="F11" s="4" t="s">
        <v>77</v>
      </c>
      <c r="G11" s="4" t="s">
        <v>79</v>
      </c>
      <c r="H11" s="4" t="s">
        <v>80</v>
      </c>
      <c r="I11" s="4" t="s">
        <v>81</v>
      </c>
      <c r="J11" s="4" t="s">
        <v>103</v>
      </c>
    </row>
    <row r="12" customFormat="false" ht="15" hidden="false" customHeight="false" outlineLevel="0" collapsed="false">
      <c r="A12" s="8" t="s">
        <v>98</v>
      </c>
      <c r="B12" s="9" t="n">
        <f aca="false">SUMIFS(Datos!$H$2:$H$94,Datos!$A$2:$A$94,"Accesories (00006010)",Datos!$D$2:$D$94,"2026.M09")-SUMIFS(Datos!$O$2:$O$94,Datos!$A$2:$A$94,"Accesories (00006010)",Datos!$D$2:$D$94,"2026.M09")</f>
        <v>1588</v>
      </c>
      <c r="C12" s="9" t="n">
        <f aca="false">SUMIFS(Datos!$H$2:$H$94,Datos!$A$2:$A$94,"Accesories (00006010)",Datos!$D$2:$D$94,"2026.M10")-SUMIFS(Datos!$O$2:$O$94,Datos!$A$2:$A$94,"Accesories (00006010)",Datos!$D$2:$D$94,"2026.M10")</f>
        <v>-1301</v>
      </c>
      <c r="D12" s="9" t="n">
        <f aca="false">SUMIFS(Datos!$H$2:$H$94,Datos!$A$2:$A$94,"Accesories (00006010)",Datos!$D$2:$D$94,"2026.M11")-SUMIFS(Datos!$O$2:$O$94,Datos!$A$2:$A$94,"Accesories (00006010)",Datos!$D$2:$D$94,"2026.M11")</f>
        <v>392</v>
      </c>
      <c r="E12" s="9" t="n">
        <f aca="false">SUMIFS(Datos!$H$2:$H$94,Datos!$A$2:$A$94,"Accesories (00006010)",Datos!$D$2:$D$94,"2026.M12")-SUMIFS(Datos!$O$2:$O$94,Datos!$A$2:$A$94,"Accesories (00006010)",Datos!$D$2:$D$94,"2026.M12")</f>
        <v>600</v>
      </c>
      <c r="F12" s="9" t="n">
        <f aca="false">SUMIFS(Datos!$H$2:$H$94,Datos!$A$2:$A$94,"Accesories (00006010)",Datos!$D$2:$D$94,"2027.M01")-SUMIFS(Datos!$O$2:$O$94,Datos!$A$2:$A$94,"Accesories (00006010)",Datos!$D$2:$D$94,"2027.M01")</f>
        <v>120</v>
      </c>
      <c r="G12" s="9" t="n">
        <f aca="false">SUMIFS(Datos!$H$2:$H$94,Datos!$A$2:$A$94,"Accesories (00006010)",Datos!$D$2:$D$94,"2027.M02")-SUMIFS(Datos!$O$2:$O$94,Datos!$A$2:$A$94,"Accesories (00006010)",Datos!$D$2:$D$94,"2027.M02")</f>
        <v>-316</v>
      </c>
      <c r="H12" s="9" t="n">
        <f aca="false">SUMIFS(Datos!$H$2:$H$94,Datos!$A$2:$A$94,"Accesories (00006010)",Datos!$D$2:$D$94,"2027.M03")-SUMIFS(Datos!$O$2:$O$94,Datos!$A$2:$A$94,"Accesories (00006010)",Datos!$D$2:$D$94,"2027.M03")</f>
        <v>-1887</v>
      </c>
      <c r="I12" s="9" t="n">
        <f aca="false">SUMIFS(Datos!$H$2:$H$94,Datos!$A$2:$A$94,"Accesories (00006010)",Datos!$D$2:$D$94,"2027.M04")-SUMIFS(Datos!$O$2:$O$94,Datos!$A$2:$A$94,"Accesories (00006010)",Datos!$D$2:$D$94,"2027.M04")</f>
        <v>-1230</v>
      </c>
      <c r="J12" s="30" t="n">
        <f aca="false">SUM(B12:I12)</f>
        <v>-2034</v>
      </c>
    </row>
    <row r="13" customFormat="false" ht="15" hidden="false" customHeight="false" outlineLevel="0" collapsed="false">
      <c r="A13" s="8" t="s">
        <v>99</v>
      </c>
      <c r="B13" s="9" t="n">
        <f aca="false">SUMIFS(Datos!$H$2:$H$94,Datos!$A$2:$A$94,"Face Multi (00006011)",Datos!$D$2:$D$94,"2026.M09")-SUMIFS(Datos!$O$2:$O$94,Datos!$A$2:$A$94,"Face Multi (00006011)",Datos!$D$2:$D$94,"2026.M09")</f>
        <v>-5</v>
      </c>
      <c r="C13" s="9" t="n">
        <f aca="false">SUMIFS(Datos!$H$2:$H$94,Datos!$A$2:$A$94,"Face Multi (00006011)",Datos!$D$2:$D$94,"2026.M10")-SUMIFS(Datos!$O$2:$O$94,Datos!$A$2:$A$94,"Face Multi (00006011)",Datos!$D$2:$D$94,"2026.M10")</f>
        <v>0</v>
      </c>
      <c r="D13" s="9" t="n">
        <f aca="false">SUMIFS(Datos!$H$2:$H$94,Datos!$A$2:$A$94,"Face Multi (00006011)",Datos!$D$2:$D$94,"2026.M11")-SUMIFS(Datos!$O$2:$O$94,Datos!$A$2:$A$94,"Face Multi (00006011)",Datos!$D$2:$D$94,"2026.M11")</f>
        <v>0</v>
      </c>
      <c r="E13" s="9" t="n">
        <f aca="false">SUMIFS(Datos!$H$2:$H$94,Datos!$A$2:$A$94,"Face Multi (00006011)",Datos!$D$2:$D$94,"2026.M12")-SUMIFS(Datos!$O$2:$O$94,Datos!$A$2:$A$94,"Face Multi (00006011)",Datos!$D$2:$D$94,"2026.M12")</f>
        <v>0</v>
      </c>
      <c r="F13" s="9" t="n">
        <f aca="false">SUMIFS(Datos!$H$2:$H$94,Datos!$A$2:$A$94,"Face Multi (00006011)",Datos!$D$2:$D$94,"2027.M01")-SUMIFS(Datos!$O$2:$O$94,Datos!$A$2:$A$94,"Face Multi (00006011)",Datos!$D$2:$D$94,"2027.M01")</f>
        <v>0</v>
      </c>
      <c r="G13" s="9" t="n">
        <f aca="false">SUMIFS(Datos!$H$2:$H$94,Datos!$A$2:$A$94,"Face Multi (00006011)",Datos!$D$2:$D$94,"2027.M02")-SUMIFS(Datos!$O$2:$O$94,Datos!$A$2:$A$94,"Face Multi (00006011)",Datos!$D$2:$D$94,"2027.M02")</f>
        <v>0</v>
      </c>
      <c r="H13" s="9" t="n">
        <f aca="false">SUMIFS(Datos!$H$2:$H$94,Datos!$A$2:$A$94,"Face Multi (00006011)",Datos!$D$2:$D$94,"2027.M03")-SUMIFS(Datos!$O$2:$O$94,Datos!$A$2:$A$94,"Face Multi (00006011)",Datos!$D$2:$D$94,"2027.M03")</f>
        <v>0</v>
      </c>
      <c r="I13" s="9" t="n">
        <f aca="false">SUMIFS(Datos!$H$2:$H$94,Datos!$A$2:$A$94,"Face Multi (00006011)",Datos!$D$2:$D$94,"2027.M04")-SUMIFS(Datos!$O$2:$O$94,Datos!$A$2:$A$94,"Face Multi (00006011)",Datos!$D$2:$D$94,"2027.M04")</f>
        <v>0</v>
      </c>
      <c r="J13" s="30" t="n">
        <f aca="false">SUM(B13:I13)</f>
        <v>-5</v>
      </c>
    </row>
    <row r="14" customFormat="false" ht="15" hidden="false" customHeight="false" outlineLevel="0" collapsed="false">
      <c r="A14" s="8" t="s">
        <v>100</v>
      </c>
      <c r="B14" s="9" t="n">
        <f aca="false">SUMIFS(Datos!$H$2:$H$94,Datos!$A$2:$A$94,"Kylie Eye Brushes (00006121)",Datos!$D$2:$D$94,"2026.M09")-SUMIFS(Datos!$O$2:$O$94,Datos!$A$2:$A$94,"Kylie Eye Brushes (00006121)",Datos!$D$2:$D$94,"2026.M09")</f>
        <v>0</v>
      </c>
      <c r="C14" s="9" t="n">
        <f aca="false">SUMIFS(Datos!$H$2:$H$94,Datos!$A$2:$A$94,"Kylie Eye Brushes (00006121)",Datos!$D$2:$D$94,"2026.M10")-SUMIFS(Datos!$O$2:$O$94,Datos!$A$2:$A$94,"Kylie Eye Brushes (00006121)",Datos!$D$2:$D$94,"2026.M10")</f>
        <v>0</v>
      </c>
      <c r="D14" s="9" t="n">
        <f aca="false">SUMIFS(Datos!$H$2:$H$94,Datos!$A$2:$A$94,"Kylie Eye Brushes (00006121)",Datos!$D$2:$D$94,"2026.M11")-SUMIFS(Datos!$O$2:$O$94,Datos!$A$2:$A$94,"Kylie Eye Brushes (00006121)",Datos!$D$2:$D$94,"2026.M11")</f>
        <v>0</v>
      </c>
      <c r="E14" s="9" t="n">
        <f aca="false">SUMIFS(Datos!$H$2:$H$94,Datos!$A$2:$A$94,"Kylie Eye Brushes (00006121)",Datos!$D$2:$D$94,"2026.M12")-SUMIFS(Datos!$O$2:$O$94,Datos!$A$2:$A$94,"Kylie Eye Brushes (00006121)",Datos!$D$2:$D$94,"2026.M12")</f>
        <v>0</v>
      </c>
      <c r="F14" s="9" t="n">
        <f aca="false">SUMIFS(Datos!$H$2:$H$94,Datos!$A$2:$A$94,"Kylie Eye Brushes (00006121)",Datos!$D$2:$D$94,"2027.M01")-SUMIFS(Datos!$O$2:$O$94,Datos!$A$2:$A$94,"Kylie Eye Brushes (00006121)",Datos!$D$2:$D$94,"2027.M01")</f>
        <v>0</v>
      </c>
      <c r="G14" s="9" t="n">
        <f aca="false">SUMIFS(Datos!$H$2:$H$94,Datos!$A$2:$A$94,"Kylie Eye Brushes (00006121)",Datos!$D$2:$D$94,"2027.M02")-SUMIFS(Datos!$O$2:$O$94,Datos!$A$2:$A$94,"Kylie Eye Brushes (00006121)",Datos!$D$2:$D$94,"2027.M02")</f>
        <v>0</v>
      </c>
      <c r="H14" s="9" t="n">
        <f aca="false">SUMIFS(Datos!$H$2:$H$94,Datos!$A$2:$A$94,"Kylie Eye Brushes (00006121)",Datos!$D$2:$D$94,"2027.M03")-SUMIFS(Datos!$O$2:$O$94,Datos!$A$2:$A$94,"Kylie Eye Brushes (00006121)",Datos!$D$2:$D$94,"2027.M03")</f>
        <v>0</v>
      </c>
      <c r="I14" s="9" t="n">
        <f aca="false">SUMIFS(Datos!$H$2:$H$94,Datos!$A$2:$A$94,"Kylie Eye Brushes (00006121)",Datos!$D$2:$D$94,"2027.M04")-SUMIFS(Datos!$O$2:$O$94,Datos!$A$2:$A$94,"Kylie Eye Brushes (00006121)",Datos!$D$2:$D$94,"2027.M04")</f>
        <v>0</v>
      </c>
      <c r="J14" s="30" t="n">
        <f aca="false">SUM(B14:I14)</f>
        <v>0</v>
      </c>
    </row>
    <row r="15" customFormat="false" ht="15" hidden="false" customHeight="false" outlineLevel="0" collapsed="false">
      <c r="A15" s="5" t="s">
        <v>101</v>
      </c>
      <c r="B15" s="6" t="n">
        <f aca="false">SUM(B12:B14)</f>
        <v>1583</v>
      </c>
      <c r="C15" s="6" t="n">
        <f aca="false">SUM(C12:C14)</f>
        <v>-1301</v>
      </c>
      <c r="D15" s="6" t="n">
        <f aca="false">SUM(D12:D14)</f>
        <v>392</v>
      </c>
      <c r="E15" s="6" t="n">
        <f aca="false">SUM(E12:E14)</f>
        <v>600</v>
      </c>
      <c r="F15" s="6" t="n">
        <f aca="false">SUM(F12:F14)</f>
        <v>120</v>
      </c>
      <c r="G15" s="6" t="n">
        <f aca="false">SUM(G12:G14)</f>
        <v>-316</v>
      </c>
      <c r="H15" s="6" t="n">
        <f aca="false">SUM(H12:H14)</f>
        <v>-1887</v>
      </c>
      <c r="I15" s="6" t="n">
        <f aca="false">SUM(I12:I14)</f>
        <v>-1230</v>
      </c>
      <c r="J15" s="6" t="n">
        <f aca="false">SUM(J12:J14)</f>
        <v>-2039</v>
      </c>
    </row>
    <row r="17" customFormat="false" ht="15" hidden="false" customHeight="false" outlineLevel="0" collapsed="false">
      <c r="A17" s="3" t="s">
        <v>104</v>
      </c>
    </row>
    <row r="18" customFormat="false" ht="30" hidden="false" customHeight="true" outlineLevel="0" collapsed="false">
      <c r="A18" s="4" t="s">
        <v>93</v>
      </c>
      <c r="B18" s="4" t="s">
        <v>71</v>
      </c>
      <c r="C18" s="4" t="s">
        <v>73</v>
      </c>
      <c r="D18" s="4" t="s">
        <v>75</v>
      </c>
      <c r="E18" s="4" t="s">
        <v>76</v>
      </c>
      <c r="F18" s="4" t="s">
        <v>77</v>
      </c>
      <c r="G18" s="4" t="s">
        <v>79</v>
      </c>
      <c r="H18" s="4" t="s">
        <v>80</v>
      </c>
      <c r="I18" s="4" t="s">
        <v>81</v>
      </c>
      <c r="J18" s="4" t="s">
        <v>103</v>
      </c>
    </row>
    <row r="19" customFormat="false" ht="15" hidden="false" customHeight="false" outlineLevel="0" collapsed="false">
      <c r="A19" s="8" t="s">
        <v>98</v>
      </c>
      <c r="B19" s="9" t="n">
        <f aca="false">SUMIFS(Datos!$H$2:$H$94,Datos!$A$2:$A$94,"Accesories (00006010)",Datos!$D$2:$D$94,"2026.M09")</f>
        <v>5592</v>
      </c>
      <c r="C19" s="9" t="n">
        <f aca="false">SUMIFS(Datos!$H$2:$H$94,Datos!$A$2:$A$94,"Accesories (00006010)",Datos!$D$2:$D$94,"2026.M10")</f>
        <v>2707</v>
      </c>
      <c r="D19" s="9" t="n">
        <f aca="false">SUMIFS(Datos!$H$2:$H$94,Datos!$A$2:$A$94,"Accesories (00006010)",Datos!$D$2:$D$94,"2026.M11")</f>
        <v>3464</v>
      </c>
      <c r="E19" s="9" t="n">
        <f aca="false">SUMIFS(Datos!$H$2:$H$94,Datos!$A$2:$A$94,"Accesories (00006010)",Datos!$D$2:$D$94,"2026.M12")</f>
        <v>4083</v>
      </c>
      <c r="F19" s="9" t="n">
        <f aca="false">SUMIFS(Datos!$H$2:$H$94,Datos!$A$2:$A$94,"Accesories (00006010)",Datos!$D$2:$D$94,"2027.M01")</f>
        <v>3282</v>
      </c>
      <c r="G19" s="9" t="n">
        <f aca="false">SUMIFS(Datos!$H$2:$H$94,Datos!$A$2:$A$94,"Accesories (00006010)",Datos!$D$2:$D$94,"2027.M02")</f>
        <v>4264</v>
      </c>
      <c r="H19" s="9" t="n">
        <f aca="false">SUMIFS(Datos!$H$2:$H$94,Datos!$A$2:$A$94,"Accesories (00006010)",Datos!$D$2:$D$94,"2027.M03")</f>
        <v>4145</v>
      </c>
      <c r="I19" s="9" t="n">
        <f aca="false">SUMIFS(Datos!$H$2:$H$94,Datos!$A$2:$A$94,"Accesories (00006010)",Datos!$D$2:$D$94,"2027.M04")</f>
        <v>1957</v>
      </c>
      <c r="J19" s="30" t="n">
        <f aca="false">SUM(B19:I19)</f>
        <v>29494</v>
      </c>
    </row>
    <row r="20" customFormat="false" ht="15" hidden="false" customHeight="false" outlineLevel="0" collapsed="false">
      <c r="A20" s="8" t="s">
        <v>99</v>
      </c>
      <c r="B20" s="9" t="n">
        <f aca="false">SUMIFS(Datos!$H$2:$H$94,Datos!$A$2:$A$94,"Face Multi (00006011)",Datos!$D$2:$D$94,"2026.M09")</f>
        <v>2400</v>
      </c>
      <c r="C20" s="9" t="n">
        <f aca="false">SUMIFS(Datos!$H$2:$H$94,Datos!$A$2:$A$94,"Face Multi (00006011)",Datos!$D$2:$D$94,"2026.M10")</f>
        <v>1396</v>
      </c>
      <c r="D20" s="9" t="n">
        <f aca="false">SUMIFS(Datos!$H$2:$H$94,Datos!$A$2:$A$94,"Face Multi (00006011)",Datos!$D$2:$D$94,"2026.M11")</f>
        <v>1228</v>
      </c>
      <c r="E20" s="9" t="n">
        <f aca="false">SUMIFS(Datos!$H$2:$H$94,Datos!$A$2:$A$94,"Face Multi (00006011)",Datos!$D$2:$D$94,"2026.M12")</f>
        <v>1104</v>
      </c>
      <c r="F20" s="9" t="n">
        <f aca="false">SUMIFS(Datos!$H$2:$H$94,Datos!$A$2:$A$94,"Face Multi (00006011)",Datos!$D$2:$D$94,"2027.M01")</f>
        <v>861</v>
      </c>
      <c r="G20" s="9" t="n">
        <f aca="false">SUMIFS(Datos!$H$2:$H$94,Datos!$A$2:$A$94,"Face Multi (00006011)",Datos!$D$2:$D$94,"2027.M02")</f>
        <v>850</v>
      </c>
      <c r="H20" s="9" t="n">
        <f aca="false">SUMIFS(Datos!$H$2:$H$94,Datos!$A$2:$A$94,"Face Multi (00006011)",Datos!$D$2:$D$94,"2027.M03")</f>
        <v>699</v>
      </c>
      <c r="I20" s="9" t="n">
        <f aca="false">SUMIFS(Datos!$H$2:$H$94,Datos!$A$2:$A$94,"Face Multi (00006011)",Datos!$D$2:$D$94,"2027.M04")</f>
        <v>650</v>
      </c>
      <c r="J20" s="30" t="n">
        <f aca="false">SUM(B20:I20)</f>
        <v>9188</v>
      </c>
    </row>
    <row r="21" customFormat="false" ht="15" hidden="false" customHeight="false" outlineLevel="0" collapsed="false">
      <c r="A21" s="8" t="s">
        <v>100</v>
      </c>
      <c r="B21" s="9" t="n">
        <f aca="false">SUMIFS(Datos!$H$2:$H$94,Datos!$A$2:$A$94,"Kylie Eye Brushes (00006121)",Datos!$D$2:$D$94,"2026.M09")</f>
        <v>0</v>
      </c>
      <c r="C21" s="9" t="n">
        <f aca="false">SUMIFS(Datos!$H$2:$H$94,Datos!$A$2:$A$94,"Kylie Eye Brushes (00006121)",Datos!$D$2:$D$94,"2026.M10")</f>
        <v>0</v>
      </c>
      <c r="D21" s="9" t="n">
        <f aca="false">SUMIFS(Datos!$H$2:$H$94,Datos!$A$2:$A$94,"Kylie Eye Brushes (00006121)",Datos!$D$2:$D$94,"2026.M11")</f>
        <v>0</v>
      </c>
      <c r="E21" s="9" t="n">
        <f aca="false">SUMIFS(Datos!$H$2:$H$94,Datos!$A$2:$A$94,"Kylie Eye Brushes (00006121)",Datos!$D$2:$D$94,"2026.M12")</f>
        <v>0</v>
      </c>
      <c r="F21" s="9" t="n">
        <f aca="false">SUMIFS(Datos!$H$2:$H$94,Datos!$A$2:$A$94,"Kylie Eye Brushes (00006121)",Datos!$D$2:$D$94,"2027.M01")</f>
        <v>0</v>
      </c>
      <c r="G21" s="9" t="n">
        <f aca="false">SUMIFS(Datos!$H$2:$H$94,Datos!$A$2:$A$94,"Kylie Eye Brushes (00006121)",Datos!$D$2:$D$94,"2027.M02")</f>
        <v>0</v>
      </c>
      <c r="H21" s="9" t="n">
        <f aca="false">SUMIFS(Datos!$H$2:$H$94,Datos!$A$2:$A$94,"Kylie Eye Brushes (00006121)",Datos!$D$2:$D$94,"2027.M03")</f>
        <v>0</v>
      </c>
      <c r="I21" s="9" t="n">
        <f aca="false">SUMIFS(Datos!$H$2:$H$94,Datos!$A$2:$A$94,"Kylie Eye Brushes (00006121)",Datos!$D$2:$D$94,"2027.M04")</f>
        <v>0</v>
      </c>
      <c r="J21" s="30" t="n">
        <f aca="false">SUM(B21:I21)</f>
        <v>0</v>
      </c>
    </row>
    <row r="22" customFormat="false" ht="15" hidden="false" customHeight="false" outlineLevel="0" collapsed="false">
      <c r="A22" s="5" t="s">
        <v>101</v>
      </c>
      <c r="B22" s="6" t="n">
        <f aca="false">SUM(B19:B21)</f>
        <v>7992</v>
      </c>
      <c r="C22" s="6" t="n">
        <f aca="false">SUM(C19:C21)</f>
        <v>4103</v>
      </c>
      <c r="D22" s="6" t="n">
        <f aca="false">SUM(D19:D21)</f>
        <v>4692</v>
      </c>
      <c r="E22" s="6" t="n">
        <f aca="false">SUM(E19:E21)</f>
        <v>5187</v>
      </c>
      <c r="F22" s="6" t="n">
        <f aca="false">SUM(F19:F21)</f>
        <v>4143</v>
      </c>
      <c r="G22" s="6" t="n">
        <f aca="false">SUM(G19:G21)</f>
        <v>5114</v>
      </c>
      <c r="H22" s="6" t="n">
        <f aca="false">SUM(H19:H21)</f>
        <v>4844</v>
      </c>
      <c r="I22" s="6" t="n">
        <f aca="false">SUM(I19:I21)</f>
        <v>2607</v>
      </c>
      <c r="J22" s="6" t="n">
        <f aca="false">SUM(J19:J21)</f>
        <v>38682</v>
      </c>
    </row>
    <row r="99" customFormat="false" ht="15" hidden="false" customHeight="false" outlineLevel="0" collapsed="false">
      <c r="A99" s="2" t="s">
        <v>105</v>
      </c>
      <c r="E99" s="19" t="n">
        <f aca="false">SUMIFS(Datos!$H$2:$H$94,Datos!$F$2:$F$94,1)</f>
        <v>38682</v>
      </c>
      <c r="G99" s="19" t="n">
        <f aca="false">SUMIFS(Datos!$H$2:$H$94,Datos!$F$2:$F$94,1)-SUMIFS(Datos!$O$2:$O$94,Datos!$F$2:$F$94,1)</f>
        <v>-2039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Q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3" min="12" style="0" width="13"/>
    <col collapsed="false" customWidth="true" hidden="false" outlineLevel="0" max="14" min="14" style="0" width="15"/>
    <col collapsed="false" customWidth="true" hidden="false" outlineLevel="0" max="16" min="15" style="0" width="13"/>
    <col collapsed="false" customWidth="true" hidden="false" outlineLevel="0" max="17" min="17" style="0" width="15"/>
  </cols>
  <sheetData>
    <row r="1" customFormat="false" ht="21.75" hidden="false" customHeight="tru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30" hidden="false" customHeight="true" outlineLevel="0" collapsed="false">
      <c r="A4" s="4" t="s">
        <v>93</v>
      </c>
      <c r="B4" s="4" t="s">
        <v>108</v>
      </c>
      <c r="C4" s="4" t="s">
        <v>109</v>
      </c>
      <c r="D4" s="4" t="s">
        <v>110</v>
      </c>
      <c r="E4" s="4" t="s">
        <v>4</v>
      </c>
      <c r="F4" s="4" t="s">
        <v>65</v>
      </c>
      <c r="G4" s="4" t="s">
        <v>66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69</v>
      </c>
      <c r="M4" s="4" t="s">
        <v>111</v>
      </c>
      <c r="N4" s="4" t="s">
        <v>112</v>
      </c>
      <c r="O4" s="4" t="s">
        <v>113</v>
      </c>
      <c r="P4" s="4" t="s">
        <v>67</v>
      </c>
      <c r="Q4" s="4" t="s">
        <v>114</v>
      </c>
    </row>
    <row r="5" customFormat="false" ht="15" hidden="false" customHeight="false" outlineLevel="0" collapsed="false">
      <c r="A5" s="8" t="s">
        <v>98</v>
      </c>
      <c r="B5" s="26" t="s">
        <v>115</v>
      </c>
      <c r="C5" s="8" t="s">
        <v>116</v>
      </c>
      <c r="D5" s="26" t="s">
        <v>117</v>
      </c>
      <c r="E5" s="9" t="n">
        <f aca="false">SUMIFS(Datos!$T$2:$T$94,Datos!$B$2:$B$94,"4064941161349",Datos!$F$2:$F$94,1)</f>
        <v>27544</v>
      </c>
      <c r="F5" s="9" t="n">
        <f aca="false">SUMIFS(Datos!$O$2:$O$94,Datos!$B$2:$B$94,"4064941161349",Datos!$F$2:$F$94,1)</f>
        <v>23922</v>
      </c>
      <c r="G5" s="9" t="n">
        <f aca="false">SUMIFS(Datos!$H$2:$H$94,Datos!$B$2:$B$94,"4064941161349",Datos!$F$2:$F$94,1)</f>
        <v>21414</v>
      </c>
      <c r="H5" s="30" t="n">
        <f aca="false">G5-F5</f>
        <v>-2508</v>
      </c>
      <c r="I5" s="10" t="n">
        <f aca="false">IFERROR(G5/F5-1,"")</f>
        <v>-0.104840732380236</v>
      </c>
      <c r="J5" s="9" t="n">
        <f aca="false">G5-E5</f>
        <v>-6130</v>
      </c>
      <c r="K5" s="10" t="n">
        <f aca="false">IFERROR(G5/E5-1,"")</f>
        <v>-0.222553006099332</v>
      </c>
      <c r="L5" s="9" t="n">
        <f aca="false">SUMIFS(Datos!$I$2:$I$94,Datos!$B$2:$B$94,"4064941161349",Datos!$F$2:$F$94,1)-SUMIFS(Datos!$P$2:$P$94,Datos!$B$2:$B$94,"4064941161349",Datos!$F$2:$F$94,1)</f>
        <v>-2504</v>
      </c>
      <c r="M5" s="9" t="n">
        <f aca="false">SUMIFS(Datos!$J$2:$J$94,Datos!$B$2:$B$94,"4064941161349",Datos!$F$2:$F$94,1)-SUMIFS(Datos!$Q$2:$Q$94,Datos!$B$2:$B$94,"4064941161349",Datos!$F$2:$F$94,1)</f>
        <v>-2000</v>
      </c>
      <c r="N5" s="9" t="n">
        <f aca="false">SUMIFS(Datos!$K$2:$K$94,Datos!$B$2:$B$94,"4064941161349",Datos!$F$2:$F$94,1)-SUMIFS(Datos!$R$2:$R$94,Datos!$B$2:$B$94,"4064941161349",Datos!$F$2:$F$94,1)</f>
        <v>1211</v>
      </c>
      <c r="O5" s="9" t="n">
        <f aca="false">H5-L5-M5-N5</f>
        <v>785</v>
      </c>
      <c r="P5" s="9" t="n">
        <f aca="false">SUMIFS(Datos!$I$2:$I$94,Datos!$B$2:$B$94,"4064941161349",Datos!$F$2:$F$94,1)</f>
        <v>20583</v>
      </c>
      <c r="Q5" s="9" t="n">
        <f aca="false">P5-G5</f>
        <v>-831</v>
      </c>
    </row>
    <row r="6" customFormat="false" ht="15" hidden="false" customHeight="false" outlineLevel="0" collapsed="false">
      <c r="A6" s="8" t="s">
        <v>98</v>
      </c>
      <c r="B6" s="26" t="s">
        <v>118</v>
      </c>
      <c r="C6" s="8" t="s">
        <v>119</v>
      </c>
      <c r="D6" s="26" t="s">
        <v>117</v>
      </c>
      <c r="E6" s="9" t="n">
        <f aca="false">SUMIFS(Datos!$T$2:$T$94,Datos!$B$2:$B$94,"4064941117254",Datos!$F$2:$F$94,1)</f>
        <v>7324</v>
      </c>
      <c r="F6" s="9" t="n">
        <f aca="false">SUMIFS(Datos!$O$2:$O$94,Datos!$B$2:$B$94,"4064941117254",Datos!$F$2:$F$94,1)</f>
        <v>5527</v>
      </c>
      <c r="G6" s="9" t="n">
        <f aca="false">SUMIFS(Datos!$H$2:$H$94,Datos!$B$2:$B$94,"4064941117254",Datos!$F$2:$F$94,1)</f>
        <v>5869</v>
      </c>
      <c r="H6" s="30" t="n">
        <f aca="false">G6-F6</f>
        <v>342</v>
      </c>
      <c r="I6" s="10" t="n">
        <f aca="false">IFERROR(G6/F6-1,"")</f>
        <v>0.0618780531934142</v>
      </c>
      <c r="J6" s="9" t="n">
        <f aca="false">G6-E6</f>
        <v>-1455</v>
      </c>
      <c r="K6" s="10" t="n">
        <f aca="false">IFERROR(G6/E6-1,"")</f>
        <v>-0.198661933369743</v>
      </c>
      <c r="L6" s="9" t="n">
        <f aca="false">SUMIFS(Datos!$I$2:$I$94,Datos!$B$2:$B$94,"4064941117254",Datos!$F$2:$F$94,1)-SUMIFS(Datos!$P$2:$P$94,Datos!$B$2:$B$94,"4064941117254",Datos!$F$2:$F$94,1)</f>
        <v>270</v>
      </c>
      <c r="M6" s="9" t="n">
        <f aca="false">SUMIFS(Datos!$J$2:$J$94,Datos!$B$2:$B$94,"4064941117254",Datos!$F$2:$F$94,1)-SUMIFS(Datos!$Q$2:$Q$94,Datos!$B$2:$B$94,"4064941117254",Datos!$F$2:$F$94,1)</f>
        <v>0</v>
      </c>
      <c r="N6" s="9" t="n">
        <f aca="false">SUMIFS(Datos!$K$2:$K$94,Datos!$B$2:$B$94,"4064941117254",Datos!$F$2:$F$94,1)-SUMIFS(Datos!$R$2:$R$94,Datos!$B$2:$B$94,"4064941117254",Datos!$F$2:$F$94,1)</f>
        <v>0</v>
      </c>
      <c r="O6" s="9" t="n">
        <f aca="false">H6-L6-M6-N6</f>
        <v>72</v>
      </c>
      <c r="P6" s="9" t="n">
        <f aca="false">SUMIFS(Datos!$I$2:$I$94,Datos!$B$2:$B$94,"4064941117254",Datos!$F$2:$F$94,1)</f>
        <v>5797</v>
      </c>
      <c r="Q6" s="9" t="n">
        <f aca="false">P6-G6</f>
        <v>-72</v>
      </c>
    </row>
    <row r="7" customFormat="false" ht="15" hidden="false" customHeight="false" outlineLevel="0" collapsed="false">
      <c r="A7" s="8" t="s">
        <v>98</v>
      </c>
      <c r="B7" s="26" t="s">
        <v>120</v>
      </c>
      <c r="C7" s="8" t="s">
        <v>121</v>
      </c>
      <c r="D7" s="26" t="s">
        <v>117</v>
      </c>
      <c r="E7" s="9" t="n">
        <f aca="false">SUMIFS(Datos!$T$2:$T$94,Datos!$B$2:$B$94,"4064941117261",Datos!$F$2:$F$94,1)</f>
        <v>1073</v>
      </c>
      <c r="F7" s="9" t="n">
        <f aca="false">SUMIFS(Datos!$O$2:$O$94,Datos!$B$2:$B$94,"4064941117261",Datos!$F$2:$F$94,1)</f>
        <v>1144</v>
      </c>
      <c r="G7" s="9" t="n">
        <f aca="false">SUMIFS(Datos!$H$2:$H$94,Datos!$B$2:$B$94,"4064941117261",Datos!$F$2:$F$94,1)</f>
        <v>1237</v>
      </c>
      <c r="H7" s="30" t="n">
        <f aca="false">G7-F7</f>
        <v>93</v>
      </c>
      <c r="I7" s="10" t="n">
        <f aca="false">IFERROR(G7/F7-1,"")</f>
        <v>0.0812937062937063</v>
      </c>
      <c r="J7" s="9" t="n">
        <f aca="false">G7-E7</f>
        <v>164</v>
      </c>
      <c r="K7" s="10" t="n">
        <f aca="false">IFERROR(G7/E7-1,"")</f>
        <v>0.152842497670084</v>
      </c>
      <c r="L7" s="9" t="n">
        <f aca="false">SUMIFS(Datos!$I$2:$I$94,Datos!$B$2:$B$94,"4064941117261",Datos!$F$2:$F$94,1)-SUMIFS(Datos!$P$2:$P$94,Datos!$B$2:$B$94,"4064941117261",Datos!$F$2:$F$94,1)</f>
        <v>78</v>
      </c>
      <c r="M7" s="9" t="n">
        <f aca="false">SUMIFS(Datos!$J$2:$J$94,Datos!$B$2:$B$94,"4064941117261",Datos!$F$2:$F$94,1)-SUMIFS(Datos!$Q$2:$Q$94,Datos!$B$2:$B$94,"4064941117261",Datos!$F$2:$F$94,1)</f>
        <v>0</v>
      </c>
      <c r="N7" s="9" t="n">
        <f aca="false">SUMIFS(Datos!$K$2:$K$94,Datos!$B$2:$B$94,"4064941117261",Datos!$F$2:$F$94,1)-SUMIFS(Datos!$R$2:$R$94,Datos!$B$2:$B$94,"4064941117261",Datos!$F$2:$F$94,1)</f>
        <v>0</v>
      </c>
      <c r="O7" s="9" t="n">
        <f aca="false">H7-L7-M7-N7</f>
        <v>15</v>
      </c>
      <c r="P7" s="9" t="n">
        <f aca="false">SUMIFS(Datos!$I$2:$I$94,Datos!$B$2:$B$94,"4064941117261",Datos!$F$2:$F$94,1)</f>
        <v>1222</v>
      </c>
      <c r="Q7" s="9" t="n">
        <f aca="false">P7-G7</f>
        <v>-15</v>
      </c>
    </row>
    <row r="8" customFormat="false" ht="15" hidden="false" customHeight="false" outlineLevel="0" collapsed="false">
      <c r="A8" s="8" t="s">
        <v>98</v>
      </c>
      <c r="B8" s="26" t="s">
        <v>122</v>
      </c>
      <c r="C8" s="8" t="s">
        <v>123</v>
      </c>
      <c r="D8" s="26" t="s">
        <v>117</v>
      </c>
      <c r="E8" s="9" t="n">
        <f aca="false">SUMIFS(Datos!$T$2:$T$94,Datos!$B$2:$B$94,"4064941039655",Datos!$F$2:$F$94,1)</f>
        <v>1885</v>
      </c>
      <c r="F8" s="9" t="n">
        <f aca="false">SUMIFS(Datos!$O$2:$O$94,Datos!$B$2:$B$94,"4064941039655",Datos!$F$2:$F$94,1)</f>
        <v>935</v>
      </c>
      <c r="G8" s="9" t="n">
        <f aca="false">SUMIFS(Datos!$H$2:$H$94,Datos!$B$2:$B$94,"4064941039655",Datos!$F$2:$F$94,1)</f>
        <v>974</v>
      </c>
      <c r="H8" s="30" t="n">
        <f aca="false">G8-F8</f>
        <v>39</v>
      </c>
      <c r="I8" s="10" t="n">
        <f aca="false">IFERROR(G8/F8-1,"")</f>
        <v>0.0417112299465241</v>
      </c>
      <c r="J8" s="9" t="n">
        <f aca="false">G8-E8</f>
        <v>-911</v>
      </c>
      <c r="K8" s="10" t="n">
        <f aca="false">IFERROR(G8/E8-1,"")</f>
        <v>-0.483289124668435</v>
      </c>
      <c r="L8" s="9" t="n">
        <f aca="false">SUMIFS(Datos!$I$2:$I$94,Datos!$B$2:$B$94,"4064941039655",Datos!$F$2:$F$94,1)-SUMIFS(Datos!$P$2:$P$94,Datos!$B$2:$B$94,"4064941039655",Datos!$F$2:$F$94,1)</f>
        <v>27</v>
      </c>
      <c r="M8" s="9" t="n">
        <f aca="false">SUMIFS(Datos!$J$2:$J$94,Datos!$B$2:$B$94,"4064941039655",Datos!$F$2:$F$94,1)-SUMIFS(Datos!$Q$2:$Q$94,Datos!$B$2:$B$94,"4064941039655",Datos!$F$2:$F$94,1)</f>
        <v>0</v>
      </c>
      <c r="N8" s="9" t="n">
        <f aca="false">SUMIFS(Datos!$K$2:$K$94,Datos!$B$2:$B$94,"4064941039655",Datos!$F$2:$F$94,1)-SUMIFS(Datos!$R$2:$R$94,Datos!$B$2:$B$94,"4064941039655",Datos!$F$2:$F$94,1)</f>
        <v>0</v>
      </c>
      <c r="O8" s="9" t="n">
        <f aca="false">H8-L8-M8-N8</f>
        <v>12</v>
      </c>
      <c r="P8" s="9" t="n">
        <f aca="false">SUMIFS(Datos!$I$2:$I$94,Datos!$B$2:$B$94,"4064941039655",Datos!$F$2:$F$94,1)</f>
        <v>962</v>
      </c>
      <c r="Q8" s="9" t="n">
        <f aca="false">P8-G8</f>
        <v>-12</v>
      </c>
    </row>
    <row r="9" customFormat="false" ht="15" hidden="false" customHeight="false" outlineLevel="0" collapsed="false">
      <c r="A9" s="8" t="s">
        <v>99</v>
      </c>
      <c r="B9" s="26" t="s">
        <v>124</v>
      </c>
      <c r="C9" s="8" t="s">
        <v>125</v>
      </c>
      <c r="D9" s="26" t="s">
        <v>126</v>
      </c>
      <c r="E9" s="9" t="n">
        <f aca="false">SUMIFS(Datos!$T$2:$T$94,Datos!$B$2:$B$94,"4064941192046",Datos!$F$2:$F$94,1)</f>
        <v>8571.00000000003</v>
      </c>
      <c r="F9" s="9" t="n">
        <f aca="false">SUMIFS(Datos!$O$2:$O$94,Datos!$B$2:$B$94,"4064941192046",Datos!$F$2:$F$94,1)</f>
        <v>6500</v>
      </c>
      <c r="G9" s="9" t="n">
        <f aca="false">SUMIFS(Datos!$H$2:$H$94,Datos!$B$2:$B$94,"4064941192046",Datos!$F$2:$F$94,1)</f>
        <v>6495</v>
      </c>
      <c r="H9" s="30" t="n">
        <f aca="false">G9-F9</f>
        <v>-5</v>
      </c>
      <c r="I9" s="10" t="n">
        <f aca="false">IFERROR(G9/F9-1,"")</f>
        <v>-0.000769230769230744</v>
      </c>
      <c r="J9" s="9" t="n">
        <f aca="false">G9-E9</f>
        <v>-2076.00000000003</v>
      </c>
      <c r="K9" s="10" t="n">
        <f aca="false">IFERROR(G9/E9-1,"")</f>
        <v>-0.242212110605533</v>
      </c>
      <c r="L9" s="9" t="n">
        <f aca="false">SUMIFS(Datos!$I$2:$I$94,Datos!$B$2:$B$94,"4064941192046",Datos!$F$2:$F$94,1)-SUMIFS(Datos!$P$2:$P$94,Datos!$B$2:$B$94,"4064941192046",Datos!$F$2:$F$94,1)</f>
        <v>6872</v>
      </c>
      <c r="M9" s="9" t="n">
        <f aca="false">SUMIFS(Datos!$J$2:$J$94,Datos!$B$2:$B$94,"4064941192046",Datos!$F$2:$F$94,1)-SUMIFS(Datos!$Q$2:$Q$94,Datos!$B$2:$B$94,"4064941192046",Datos!$F$2:$F$94,1)</f>
        <v>0</v>
      </c>
      <c r="N9" s="9" t="n">
        <f aca="false">SUMIFS(Datos!$K$2:$K$94,Datos!$B$2:$B$94,"4064941192046",Datos!$F$2:$F$94,1)-SUMIFS(Datos!$R$2:$R$94,Datos!$B$2:$B$94,"4064941192046",Datos!$F$2:$F$94,1)</f>
        <v>0</v>
      </c>
      <c r="O9" s="9" t="n">
        <f aca="false">H9-L9-M9-N9</f>
        <v>-6877</v>
      </c>
      <c r="P9" s="9" t="n">
        <f aca="false">SUMIFS(Datos!$I$2:$I$94,Datos!$B$2:$B$94,"4064941192046",Datos!$F$2:$F$94,1)</f>
        <v>11105</v>
      </c>
      <c r="Q9" s="9" t="n">
        <f aca="false">P9-G9</f>
        <v>4610</v>
      </c>
    </row>
    <row r="10" customFormat="false" ht="15" hidden="false" customHeight="false" outlineLevel="0" collapsed="false">
      <c r="A10" s="8" t="s">
        <v>99</v>
      </c>
      <c r="B10" s="26" t="s">
        <v>127</v>
      </c>
      <c r="C10" s="8" t="s">
        <v>128</v>
      </c>
      <c r="D10" s="26" t="s">
        <v>126</v>
      </c>
      <c r="E10" s="9" t="n">
        <f aca="false">SUMIFS(Datos!$T$2:$T$94,Datos!$B$2:$B$94,"4064941192060",Datos!$F$2:$F$94,1)</f>
        <v>320</v>
      </c>
      <c r="F10" s="9" t="n">
        <f aca="false">SUMIFS(Datos!$O$2:$O$94,Datos!$B$2:$B$94,"4064941192060",Datos!$F$2:$F$94,1)</f>
        <v>1278</v>
      </c>
      <c r="G10" s="9" t="n">
        <f aca="false">SUMIFS(Datos!$H$2:$H$94,Datos!$B$2:$B$94,"4064941192060",Datos!$F$2:$F$94,1)</f>
        <v>1278</v>
      </c>
      <c r="H10" s="30" t="n">
        <f aca="false">G10-F10</f>
        <v>0</v>
      </c>
      <c r="I10" s="10" t="n">
        <f aca="false">IFERROR(G10/F10-1,"")</f>
        <v>0</v>
      </c>
      <c r="J10" s="9" t="n">
        <f aca="false">G10-E10</f>
        <v>958</v>
      </c>
      <c r="K10" s="10" t="n">
        <f aca="false">IFERROR(G10/E10-1,"")</f>
        <v>2.99375</v>
      </c>
      <c r="L10" s="9" t="n">
        <f aca="false">SUMIFS(Datos!$I$2:$I$94,Datos!$B$2:$B$94,"4064941192060",Datos!$F$2:$F$94,1)-SUMIFS(Datos!$P$2:$P$94,Datos!$B$2:$B$94,"4064941192060",Datos!$F$2:$F$94,1)</f>
        <v>-5777</v>
      </c>
      <c r="M10" s="9" t="n">
        <f aca="false">SUMIFS(Datos!$J$2:$J$94,Datos!$B$2:$B$94,"4064941192060",Datos!$F$2:$F$94,1)-SUMIFS(Datos!$Q$2:$Q$94,Datos!$B$2:$B$94,"4064941192060",Datos!$F$2:$F$94,1)</f>
        <v>0</v>
      </c>
      <c r="N10" s="9" t="n">
        <f aca="false">SUMIFS(Datos!$K$2:$K$94,Datos!$B$2:$B$94,"4064941192060",Datos!$F$2:$F$94,1)-SUMIFS(Datos!$R$2:$R$94,Datos!$B$2:$B$94,"4064941192060",Datos!$F$2:$F$94,1)</f>
        <v>0</v>
      </c>
      <c r="O10" s="9" t="n">
        <f aca="false">H10-L10-M10-N10</f>
        <v>5777</v>
      </c>
      <c r="P10" s="9" t="n">
        <f aca="false">SUMIFS(Datos!$I$2:$I$94,Datos!$B$2:$B$94,"4064941192060",Datos!$F$2:$F$94,1)</f>
        <v>0</v>
      </c>
      <c r="Q10" s="9" t="n">
        <f aca="false">P10-G10</f>
        <v>-1278</v>
      </c>
    </row>
    <row r="11" customFormat="false" ht="15" hidden="false" customHeight="false" outlineLevel="0" collapsed="false">
      <c r="A11" s="8" t="s">
        <v>99</v>
      </c>
      <c r="B11" s="26" t="s">
        <v>129</v>
      </c>
      <c r="C11" s="8" t="s">
        <v>130</v>
      </c>
      <c r="D11" s="26" t="s">
        <v>126</v>
      </c>
      <c r="E11" s="9" t="n">
        <f aca="false">SUMIFS(Datos!$T$2:$T$94,Datos!$B$2:$B$94,"4064941200116",Datos!$F$2:$F$94,1)</f>
        <v>9582</v>
      </c>
      <c r="F11" s="9" t="n">
        <f aca="false">SUMIFS(Datos!$O$2:$O$94,Datos!$B$2:$B$94,"4064941200116",Datos!$F$2:$F$94,1)</f>
        <v>1415</v>
      </c>
      <c r="G11" s="9" t="n">
        <f aca="false">SUMIFS(Datos!$H$2:$H$94,Datos!$B$2:$B$94,"4064941200116",Datos!$F$2:$F$94,1)</f>
        <v>1415</v>
      </c>
      <c r="H11" s="30" t="n">
        <f aca="false">G11-F11</f>
        <v>0</v>
      </c>
      <c r="I11" s="10" t="n">
        <f aca="false">IFERROR(G11/F11-1,"")</f>
        <v>0</v>
      </c>
      <c r="J11" s="9" t="n">
        <f aca="false">G11-E11</f>
        <v>-8167</v>
      </c>
      <c r="K11" s="10" t="n">
        <f aca="false">IFERROR(G11/E11-1,"")</f>
        <v>-0.852327280317262</v>
      </c>
      <c r="L11" s="9" t="n">
        <f aca="false">SUMIFS(Datos!$I$2:$I$94,Datos!$B$2:$B$94,"4064941200116",Datos!$F$2:$F$94,1)-SUMIFS(Datos!$P$2:$P$94,Datos!$B$2:$B$94,"4064941200116",Datos!$F$2:$F$94,1)</f>
        <v>-1677</v>
      </c>
      <c r="M11" s="9" t="n">
        <f aca="false">SUMIFS(Datos!$J$2:$J$94,Datos!$B$2:$B$94,"4064941200116",Datos!$F$2:$F$94,1)-SUMIFS(Datos!$Q$2:$Q$94,Datos!$B$2:$B$94,"4064941200116",Datos!$F$2:$F$94,1)</f>
        <v>0</v>
      </c>
      <c r="N11" s="9" t="n">
        <f aca="false">SUMIFS(Datos!$K$2:$K$94,Datos!$B$2:$B$94,"4064941200116",Datos!$F$2:$F$94,1)-SUMIFS(Datos!$R$2:$R$94,Datos!$B$2:$B$94,"4064941200116",Datos!$F$2:$F$94,1)</f>
        <v>0</v>
      </c>
      <c r="O11" s="9" t="n">
        <f aca="false">H11-L11-M11-N11</f>
        <v>1677</v>
      </c>
      <c r="P11" s="9" t="n">
        <f aca="false">SUMIFS(Datos!$I$2:$I$94,Datos!$B$2:$B$94,"4064941200116",Datos!$F$2:$F$94,1)</f>
        <v>29</v>
      </c>
      <c r="Q11" s="9" t="n">
        <f aca="false">P11-G11</f>
        <v>-1386</v>
      </c>
    </row>
    <row r="12" customFormat="false" ht="15" hidden="false" customHeight="false" outlineLevel="0" collapsed="false">
      <c r="A12" s="8" t="s">
        <v>100</v>
      </c>
      <c r="B12" s="26" t="s">
        <v>131</v>
      </c>
      <c r="C12" s="8" t="s">
        <v>132</v>
      </c>
      <c r="D12" s="26" t="s">
        <v>117</v>
      </c>
      <c r="E12" s="9" t="n">
        <f aca="false">SUMIFS(Datos!$T$2:$T$94,Datos!$B$2:$B$94,"4064941039662",Datos!$F$2:$F$94,1)</f>
        <v>139</v>
      </c>
      <c r="F12" s="9" t="n">
        <f aca="false">SUMIFS(Datos!$O$2:$O$94,Datos!$B$2:$B$94,"4064941039662",Datos!$F$2:$F$94,1)</f>
        <v>0</v>
      </c>
      <c r="G12" s="9" t="n">
        <f aca="false">SUMIFS(Datos!$H$2:$H$94,Datos!$B$2:$B$94,"4064941039662",Datos!$F$2:$F$94,1)</f>
        <v>0</v>
      </c>
      <c r="H12" s="30" t="n">
        <f aca="false">G12-F12</f>
        <v>0</v>
      </c>
      <c r="I12" s="10" t="str">
        <f aca="false">IFERROR(G12/F12-1,"")</f>
        <v/>
      </c>
      <c r="J12" s="9" t="n">
        <f aca="false">G12-E12</f>
        <v>-139</v>
      </c>
      <c r="K12" s="10" t="n">
        <f aca="false">IFERROR(G12/E12-1,"")</f>
        <v>-1</v>
      </c>
      <c r="L12" s="9" t="n">
        <f aca="false">SUMIFS(Datos!$I$2:$I$94,Datos!$B$2:$B$94,"4064941039662",Datos!$F$2:$F$94,1)-SUMIFS(Datos!$P$2:$P$94,Datos!$B$2:$B$94,"4064941039662",Datos!$F$2:$F$94,1)</f>
        <v>0</v>
      </c>
      <c r="M12" s="9" t="n">
        <f aca="false">SUMIFS(Datos!$J$2:$J$94,Datos!$B$2:$B$94,"4064941039662",Datos!$F$2:$F$94,1)-SUMIFS(Datos!$Q$2:$Q$94,Datos!$B$2:$B$94,"4064941039662",Datos!$F$2:$F$94,1)</f>
        <v>0</v>
      </c>
      <c r="N12" s="9" t="n">
        <f aca="false">SUMIFS(Datos!$K$2:$K$94,Datos!$B$2:$B$94,"4064941039662",Datos!$F$2:$F$94,1)-SUMIFS(Datos!$R$2:$R$94,Datos!$B$2:$B$94,"4064941039662",Datos!$F$2:$F$94,1)</f>
        <v>0</v>
      </c>
      <c r="O12" s="9" t="n">
        <f aca="false">H12-L12-M12-N12</f>
        <v>0</v>
      </c>
      <c r="P12" s="9" t="n">
        <f aca="false">SUMIFS(Datos!$I$2:$I$94,Datos!$B$2:$B$94,"4064941039662",Datos!$F$2:$F$94,1)</f>
        <v>0</v>
      </c>
      <c r="Q12" s="9" t="n">
        <f aca="false">P12-G12</f>
        <v>0</v>
      </c>
    </row>
    <row r="13" customFormat="false" ht="15" hidden="false" customHeight="false" outlineLevel="0" collapsed="false">
      <c r="A13" s="5" t="s">
        <v>101</v>
      </c>
      <c r="B13" s="27"/>
      <c r="C13" s="27"/>
      <c r="D13" s="27"/>
      <c r="E13" s="6" t="n">
        <f aca="false">SUM(E5:E12)</f>
        <v>56438</v>
      </c>
      <c r="F13" s="6" t="n">
        <f aca="false">SUM(F5:F12)</f>
        <v>40721</v>
      </c>
      <c r="G13" s="6" t="n">
        <f aca="false">SUM(G5:G12)</f>
        <v>38682</v>
      </c>
      <c r="H13" s="6" t="n">
        <f aca="false">SUM(H5:H12)</f>
        <v>-2039</v>
      </c>
      <c r="I13" s="7" t="n">
        <f aca="false">IFERROR(G13/F13-1,"")</f>
        <v>-0.0500724441934137</v>
      </c>
      <c r="J13" s="6" t="n">
        <f aca="false">SUM(J5:J12)</f>
        <v>-17756</v>
      </c>
      <c r="K13" s="7" t="n">
        <f aca="false">IFERROR(G13/E13-1,"")</f>
        <v>-0.314610723271555</v>
      </c>
      <c r="L13" s="6" t="n">
        <f aca="false">SUM(L5:L12)</f>
        <v>-2711</v>
      </c>
      <c r="M13" s="6" t="n">
        <f aca="false">SUM(M5:M12)</f>
        <v>-2000</v>
      </c>
      <c r="N13" s="6" t="n">
        <f aca="false">SUM(N5:N12)</f>
        <v>1211</v>
      </c>
      <c r="O13" s="6" t="n">
        <f aca="false">SUM(O5:O12)</f>
        <v>1461</v>
      </c>
      <c r="P13" s="6" t="n">
        <f aca="false">SUM(P5:P12)</f>
        <v>39698</v>
      </c>
      <c r="Q13" s="6" t="n">
        <f aca="false">SUM(Q5:Q12)</f>
        <v>1016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K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11" min="3" style="0" width="11"/>
  </cols>
  <sheetData>
    <row r="1" customFormat="false" ht="21.75" hidden="false" customHeight="tru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4" customFormat="false" ht="15" hidden="false" customHeight="false" outlineLevel="0" collapsed="false">
      <c r="A4" s="3" t="s">
        <v>135</v>
      </c>
    </row>
    <row r="5" customFormat="false" ht="30" hidden="false" customHeight="true" outlineLevel="0" collapsed="false">
      <c r="A5" s="4" t="s">
        <v>108</v>
      </c>
      <c r="B5" s="4" t="s">
        <v>109</v>
      </c>
      <c r="C5" s="4" t="s">
        <v>71</v>
      </c>
      <c r="D5" s="4" t="s">
        <v>73</v>
      </c>
      <c r="E5" s="4" t="s">
        <v>75</v>
      </c>
      <c r="F5" s="4" t="s">
        <v>76</v>
      </c>
      <c r="G5" s="4" t="s">
        <v>77</v>
      </c>
      <c r="H5" s="4" t="s">
        <v>79</v>
      </c>
      <c r="I5" s="4" t="s">
        <v>80</v>
      </c>
      <c r="J5" s="4" t="s">
        <v>81</v>
      </c>
      <c r="K5" s="4" t="s">
        <v>103</v>
      </c>
    </row>
    <row r="6" customFormat="false" ht="15" hidden="false" customHeight="false" outlineLevel="0" collapsed="false">
      <c r="A6" s="26" t="s">
        <v>115</v>
      </c>
      <c r="B6" s="8" t="s">
        <v>116</v>
      </c>
      <c r="C6" s="9" t="n">
        <f aca="false">SUMIFS(Datos!$H$2:$H$94,Datos!$B$2:$B$94,"4064941161349",Datos!$D$2:$D$94,"2026.M09")-SUMIFS(Datos!$O$2:$O$94,Datos!$B$2:$B$94,"4064941161349",Datos!$D$2:$D$94,"2026.M09")</f>
        <v>864</v>
      </c>
      <c r="D6" s="9" t="n">
        <f aca="false">SUMIFS(Datos!$H$2:$H$94,Datos!$B$2:$B$94,"4064941161349",Datos!$D$2:$D$94,"2026.M10")-SUMIFS(Datos!$O$2:$O$94,Datos!$B$2:$B$94,"4064941161349",Datos!$D$2:$D$94,"2026.M10")</f>
        <v>-962</v>
      </c>
      <c r="E6" s="9" t="n">
        <f aca="false">SUMIFS(Datos!$H$2:$H$94,Datos!$B$2:$B$94,"4064941161349",Datos!$D$2:$D$94,"2026.M11")-SUMIFS(Datos!$O$2:$O$94,Datos!$B$2:$B$94,"4064941161349",Datos!$D$2:$D$94,"2026.M11")</f>
        <v>97</v>
      </c>
      <c r="F6" s="9" t="n">
        <f aca="false">SUMIFS(Datos!$H$2:$H$94,Datos!$B$2:$B$94,"4064941161349",Datos!$D$2:$D$94,"2026.M12")-SUMIFS(Datos!$O$2:$O$94,Datos!$B$2:$B$94,"4064941161349",Datos!$D$2:$D$94,"2026.M12")</f>
        <v>12</v>
      </c>
      <c r="G6" s="9" t="n">
        <f aca="false">SUMIFS(Datos!$H$2:$H$94,Datos!$B$2:$B$94,"4064941161349",Datos!$D$2:$D$94,"2027.M01")-SUMIFS(Datos!$O$2:$O$94,Datos!$B$2:$B$94,"4064941161349",Datos!$D$2:$D$94,"2027.M01")</f>
        <v>-50</v>
      </c>
      <c r="H6" s="9" t="n">
        <f aca="false">SUMIFS(Datos!$H$2:$H$94,Datos!$B$2:$B$94,"4064941161349",Datos!$D$2:$D$94,"2027.M02")-SUMIFS(Datos!$O$2:$O$94,Datos!$B$2:$B$94,"4064941161349",Datos!$D$2:$D$94,"2027.M02")</f>
        <v>659</v>
      </c>
      <c r="I6" s="9" t="n">
        <f aca="false">SUMIFS(Datos!$H$2:$H$94,Datos!$B$2:$B$94,"4064941161349",Datos!$D$2:$D$94,"2027.M03")-SUMIFS(Datos!$O$2:$O$94,Datos!$B$2:$B$94,"4064941161349",Datos!$D$2:$D$94,"2027.M03")</f>
        <v>-1905</v>
      </c>
      <c r="J6" s="9" t="n">
        <f aca="false">SUMIFS(Datos!$H$2:$H$94,Datos!$B$2:$B$94,"4064941161349",Datos!$D$2:$D$94,"2027.M04")-SUMIFS(Datos!$O$2:$O$94,Datos!$B$2:$B$94,"4064941161349",Datos!$D$2:$D$94,"2027.M04")</f>
        <v>-1223</v>
      </c>
      <c r="K6" s="30" t="n">
        <f aca="false">SUM(C6:J6)</f>
        <v>-2508</v>
      </c>
    </row>
    <row r="7" customFormat="false" ht="15" hidden="false" customHeight="false" outlineLevel="0" collapsed="false">
      <c r="A7" s="26" t="s">
        <v>118</v>
      </c>
      <c r="B7" s="8" t="s">
        <v>119</v>
      </c>
      <c r="C7" s="9" t="n">
        <f aca="false">SUMIFS(Datos!$H$2:$H$94,Datos!$B$2:$B$94,"4064941117254",Datos!$D$2:$D$94,"2026.M09")-SUMIFS(Datos!$O$2:$O$94,Datos!$B$2:$B$94,"4064941117254",Datos!$D$2:$D$94,"2026.M09")</f>
        <v>544</v>
      </c>
      <c r="D7" s="9" t="n">
        <f aca="false">SUMIFS(Datos!$H$2:$H$94,Datos!$B$2:$B$94,"4064941117254",Datos!$D$2:$D$94,"2026.M10")-SUMIFS(Datos!$O$2:$O$94,Datos!$B$2:$B$94,"4064941117254",Datos!$D$2:$D$94,"2026.M10")</f>
        <v>-277</v>
      </c>
      <c r="E7" s="9" t="n">
        <f aca="false">SUMIFS(Datos!$H$2:$H$94,Datos!$B$2:$B$94,"4064941117254",Datos!$D$2:$D$94,"2026.M11")-SUMIFS(Datos!$O$2:$O$94,Datos!$B$2:$B$94,"4064941117254",Datos!$D$2:$D$94,"2026.M11")</f>
        <v>273</v>
      </c>
      <c r="F7" s="9" t="n">
        <f aca="false">SUMIFS(Datos!$H$2:$H$94,Datos!$B$2:$B$94,"4064941117254",Datos!$D$2:$D$94,"2026.M12")-SUMIFS(Datos!$O$2:$O$94,Datos!$B$2:$B$94,"4064941117254",Datos!$D$2:$D$94,"2026.M12")</f>
        <v>542</v>
      </c>
      <c r="G7" s="9" t="n">
        <f aca="false">SUMIFS(Datos!$H$2:$H$94,Datos!$B$2:$B$94,"4064941117254",Datos!$D$2:$D$94,"2027.M01")-SUMIFS(Datos!$O$2:$O$94,Datos!$B$2:$B$94,"4064941117254",Datos!$D$2:$D$94,"2027.M01")</f>
        <v>179</v>
      </c>
      <c r="H7" s="9" t="n">
        <f aca="false">SUMIFS(Datos!$H$2:$H$94,Datos!$B$2:$B$94,"4064941117254",Datos!$D$2:$D$94,"2027.M02")-SUMIFS(Datos!$O$2:$O$94,Datos!$B$2:$B$94,"4064941117254",Datos!$D$2:$D$94,"2027.M02")</f>
        <v>-1007</v>
      </c>
      <c r="I7" s="9" t="n">
        <f aca="false">SUMIFS(Datos!$H$2:$H$94,Datos!$B$2:$B$94,"4064941117254",Datos!$D$2:$D$94,"2027.M03")-SUMIFS(Datos!$O$2:$O$94,Datos!$B$2:$B$94,"4064941117254",Datos!$D$2:$D$94,"2027.M03")</f>
        <v>-3</v>
      </c>
      <c r="J7" s="9" t="n">
        <f aca="false">SUMIFS(Datos!$H$2:$H$94,Datos!$B$2:$B$94,"4064941117254",Datos!$D$2:$D$94,"2027.M04")-SUMIFS(Datos!$O$2:$O$94,Datos!$B$2:$B$94,"4064941117254",Datos!$D$2:$D$94,"2027.M04")</f>
        <v>91</v>
      </c>
      <c r="K7" s="30" t="n">
        <f aca="false">SUM(C7:J7)</f>
        <v>342</v>
      </c>
    </row>
    <row r="8" customFormat="false" ht="15" hidden="false" customHeight="false" outlineLevel="0" collapsed="false">
      <c r="A8" s="26" t="s">
        <v>120</v>
      </c>
      <c r="B8" s="8" t="s">
        <v>121</v>
      </c>
      <c r="C8" s="9" t="n">
        <f aca="false">SUMIFS(Datos!$H$2:$H$94,Datos!$B$2:$B$94,"4064941117261",Datos!$D$2:$D$94,"2026.M09")-SUMIFS(Datos!$O$2:$O$94,Datos!$B$2:$B$94,"4064941117261",Datos!$D$2:$D$94,"2026.M09")</f>
        <v>103</v>
      </c>
      <c r="D8" s="9" t="n">
        <f aca="false">SUMIFS(Datos!$H$2:$H$94,Datos!$B$2:$B$94,"4064941117261",Datos!$D$2:$D$94,"2026.M10")-SUMIFS(Datos!$O$2:$O$94,Datos!$B$2:$B$94,"4064941117261",Datos!$D$2:$D$94,"2026.M10")</f>
        <v>-34</v>
      </c>
      <c r="E8" s="9" t="n">
        <f aca="false">SUMIFS(Datos!$H$2:$H$94,Datos!$B$2:$B$94,"4064941117261",Datos!$D$2:$D$94,"2026.M11")-SUMIFS(Datos!$O$2:$O$94,Datos!$B$2:$B$94,"4064941117261",Datos!$D$2:$D$94,"2026.M11")</f>
        <v>18</v>
      </c>
      <c r="F8" s="9" t="n">
        <f aca="false">SUMIFS(Datos!$H$2:$H$94,Datos!$B$2:$B$94,"4064941117261",Datos!$D$2:$D$94,"2026.M12")-SUMIFS(Datos!$O$2:$O$94,Datos!$B$2:$B$94,"4064941117261",Datos!$D$2:$D$94,"2026.M12")</f>
        <v>28</v>
      </c>
      <c r="G8" s="9" t="n">
        <f aca="false">SUMIFS(Datos!$H$2:$H$94,Datos!$B$2:$B$94,"4064941117261",Datos!$D$2:$D$94,"2027.M01")-SUMIFS(Datos!$O$2:$O$94,Datos!$B$2:$B$94,"4064941117261",Datos!$D$2:$D$94,"2027.M01")</f>
        <v>-4</v>
      </c>
      <c r="H8" s="9" t="n">
        <f aca="false">SUMIFS(Datos!$H$2:$H$94,Datos!$B$2:$B$94,"4064941117261",Datos!$D$2:$D$94,"2027.M02")-SUMIFS(Datos!$O$2:$O$94,Datos!$B$2:$B$94,"4064941117261",Datos!$D$2:$D$94,"2027.M02")</f>
        <v>20</v>
      </c>
      <c r="I8" s="9" t="n">
        <f aca="false">SUMIFS(Datos!$H$2:$H$94,Datos!$B$2:$B$94,"4064941117261",Datos!$D$2:$D$94,"2027.M03")-SUMIFS(Datos!$O$2:$O$94,Datos!$B$2:$B$94,"4064941117261",Datos!$D$2:$D$94,"2027.M03")</f>
        <v>13</v>
      </c>
      <c r="J8" s="9" t="n">
        <f aca="false">SUMIFS(Datos!$H$2:$H$94,Datos!$B$2:$B$94,"4064941117261",Datos!$D$2:$D$94,"2027.M04")-SUMIFS(Datos!$O$2:$O$94,Datos!$B$2:$B$94,"4064941117261",Datos!$D$2:$D$94,"2027.M04")</f>
        <v>-51</v>
      </c>
      <c r="K8" s="30" t="n">
        <f aca="false">SUM(C8:J8)</f>
        <v>93</v>
      </c>
    </row>
    <row r="9" customFormat="false" ht="15" hidden="false" customHeight="false" outlineLevel="0" collapsed="false">
      <c r="A9" s="26" t="s">
        <v>122</v>
      </c>
      <c r="B9" s="8" t="s">
        <v>123</v>
      </c>
      <c r="C9" s="9" t="n">
        <f aca="false">SUMIFS(Datos!$H$2:$H$94,Datos!$B$2:$B$94,"4064941039655",Datos!$D$2:$D$94,"2026.M09")-SUMIFS(Datos!$O$2:$O$94,Datos!$B$2:$B$94,"4064941039655",Datos!$D$2:$D$94,"2026.M09")</f>
        <v>77</v>
      </c>
      <c r="D9" s="9" t="n">
        <f aca="false">SUMIFS(Datos!$H$2:$H$94,Datos!$B$2:$B$94,"4064941039655",Datos!$D$2:$D$94,"2026.M10")-SUMIFS(Datos!$O$2:$O$94,Datos!$B$2:$B$94,"4064941039655",Datos!$D$2:$D$94,"2026.M10")</f>
        <v>-28</v>
      </c>
      <c r="E9" s="9" t="n">
        <f aca="false">SUMIFS(Datos!$H$2:$H$94,Datos!$B$2:$B$94,"4064941039655",Datos!$D$2:$D$94,"2026.M11")-SUMIFS(Datos!$O$2:$O$94,Datos!$B$2:$B$94,"4064941039655",Datos!$D$2:$D$94,"2026.M11")</f>
        <v>4</v>
      </c>
      <c r="F9" s="9" t="n">
        <f aca="false">SUMIFS(Datos!$H$2:$H$94,Datos!$B$2:$B$94,"4064941039655",Datos!$D$2:$D$94,"2026.M12")-SUMIFS(Datos!$O$2:$O$94,Datos!$B$2:$B$94,"4064941039655",Datos!$D$2:$D$94,"2026.M12")</f>
        <v>18</v>
      </c>
      <c r="G9" s="9" t="n">
        <f aca="false">SUMIFS(Datos!$H$2:$H$94,Datos!$B$2:$B$94,"4064941039655",Datos!$D$2:$D$94,"2027.M01")-SUMIFS(Datos!$O$2:$O$94,Datos!$B$2:$B$94,"4064941039655",Datos!$D$2:$D$94,"2027.M01")</f>
        <v>-5</v>
      </c>
      <c r="H9" s="9" t="n">
        <f aca="false">SUMIFS(Datos!$H$2:$H$94,Datos!$B$2:$B$94,"4064941039655",Datos!$D$2:$D$94,"2027.M02")-SUMIFS(Datos!$O$2:$O$94,Datos!$B$2:$B$94,"4064941039655",Datos!$D$2:$D$94,"2027.M02")</f>
        <v>12</v>
      </c>
      <c r="I9" s="9" t="n">
        <f aca="false">SUMIFS(Datos!$H$2:$H$94,Datos!$B$2:$B$94,"4064941039655",Datos!$D$2:$D$94,"2027.M03")-SUMIFS(Datos!$O$2:$O$94,Datos!$B$2:$B$94,"4064941039655",Datos!$D$2:$D$94,"2027.M03")</f>
        <v>8</v>
      </c>
      <c r="J9" s="9" t="n">
        <f aca="false">SUMIFS(Datos!$H$2:$H$94,Datos!$B$2:$B$94,"4064941039655",Datos!$D$2:$D$94,"2027.M04")-SUMIFS(Datos!$O$2:$O$94,Datos!$B$2:$B$94,"4064941039655",Datos!$D$2:$D$94,"2027.M04")</f>
        <v>-47</v>
      </c>
      <c r="K9" s="30" t="n">
        <f aca="false">SUM(C9:J9)</f>
        <v>39</v>
      </c>
    </row>
    <row r="10" customFormat="false" ht="15" hidden="false" customHeight="false" outlineLevel="0" collapsed="false">
      <c r="A10" s="26" t="s">
        <v>124</v>
      </c>
      <c r="B10" s="8" t="s">
        <v>125</v>
      </c>
      <c r="C10" s="9" t="n">
        <f aca="false">SUMIFS(Datos!$H$2:$H$94,Datos!$B$2:$B$94,"4064941192046",Datos!$D$2:$D$94,"2026.M09")-SUMIFS(Datos!$O$2:$O$94,Datos!$B$2:$B$94,"4064941192046",Datos!$D$2:$D$94,"2026.M09")</f>
        <v>-5</v>
      </c>
      <c r="D10" s="9" t="n">
        <f aca="false">SUMIFS(Datos!$H$2:$H$94,Datos!$B$2:$B$94,"4064941192046",Datos!$D$2:$D$94,"2026.M10")-SUMIFS(Datos!$O$2:$O$94,Datos!$B$2:$B$94,"4064941192046",Datos!$D$2:$D$94,"2026.M10")</f>
        <v>0</v>
      </c>
      <c r="E10" s="9" t="n">
        <f aca="false">SUMIFS(Datos!$H$2:$H$94,Datos!$B$2:$B$94,"4064941192046",Datos!$D$2:$D$94,"2026.M11")-SUMIFS(Datos!$O$2:$O$94,Datos!$B$2:$B$94,"4064941192046",Datos!$D$2:$D$94,"2026.M11")</f>
        <v>0</v>
      </c>
      <c r="F10" s="9" t="n">
        <f aca="false">SUMIFS(Datos!$H$2:$H$94,Datos!$B$2:$B$94,"4064941192046",Datos!$D$2:$D$94,"2026.M12")-SUMIFS(Datos!$O$2:$O$94,Datos!$B$2:$B$94,"4064941192046",Datos!$D$2:$D$94,"2026.M12")</f>
        <v>0</v>
      </c>
      <c r="G10" s="9" t="n">
        <f aca="false">SUMIFS(Datos!$H$2:$H$94,Datos!$B$2:$B$94,"4064941192046",Datos!$D$2:$D$94,"2027.M01")-SUMIFS(Datos!$O$2:$O$94,Datos!$B$2:$B$94,"4064941192046",Datos!$D$2:$D$94,"2027.M01")</f>
        <v>0</v>
      </c>
      <c r="H10" s="9" t="n">
        <f aca="false">SUMIFS(Datos!$H$2:$H$94,Datos!$B$2:$B$94,"4064941192046",Datos!$D$2:$D$94,"2027.M02")-SUMIFS(Datos!$O$2:$O$94,Datos!$B$2:$B$94,"4064941192046",Datos!$D$2:$D$94,"2027.M02")</f>
        <v>0</v>
      </c>
      <c r="I10" s="9" t="n">
        <f aca="false">SUMIFS(Datos!$H$2:$H$94,Datos!$B$2:$B$94,"4064941192046",Datos!$D$2:$D$94,"2027.M03")-SUMIFS(Datos!$O$2:$O$94,Datos!$B$2:$B$94,"4064941192046",Datos!$D$2:$D$94,"2027.M03")</f>
        <v>0</v>
      </c>
      <c r="J10" s="9" t="n">
        <f aca="false">SUMIFS(Datos!$H$2:$H$94,Datos!$B$2:$B$94,"4064941192046",Datos!$D$2:$D$94,"2027.M04")-SUMIFS(Datos!$O$2:$O$94,Datos!$B$2:$B$94,"4064941192046",Datos!$D$2:$D$94,"2027.M04")</f>
        <v>0</v>
      </c>
      <c r="K10" s="30" t="n">
        <f aca="false">SUM(C10:J10)</f>
        <v>-5</v>
      </c>
    </row>
    <row r="11" customFormat="false" ht="15" hidden="false" customHeight="false" outlineLevel="0" collapsed="false">
      <c r="A11" s="26" t="s">
        <v>127</v>
      </c>
      <c r="B11" s="8" t="s">
        <v>128</v>
      </c>
      <c r="C11" s="9" t="n">
        <f aca="false">SUMIFS(Datos!$H$2:$H$94,Datos!$B$2:$B$94,"4064941192060",Datos!$D$2:$D$94,"2026.M09")-SUMIFS(Datos!$O$2:$O$94,Datos!$B$2:$B$94,"4064941192060",Datos!$D$2:$D$94,"2026.M09")</f>
        <v>0</v>
      </c>
      <c r="D11" s="9" t="n">
        <f aca="false">SUMIFS(Datos!$H$2:$H$94,Datos!$B$2:$B$94,"4064941192060",Datos!$D$2:$D$94,"2026.M10")-SUMIFS(Datos!$O$2:$O$94,Datos!$B$2:$B$94,"4064941192060",Datos!$D$2:$D$94,"2026.M10")</f>
        <v>0</v>
      </c>
      <c r="E11" s="9" t="n">
        <f aca="false">SUMIFS(Datos!$H$2:$H$94,Datos!$B$2:$B$94,"4064941192060",Datos!$D$2:$D$94,"2026.M11")-SUMIFS(Datos!$O$2:$O$94,Datos!$B$2:$B$94,"4064941192060",Datos!$D$2:$D$94,"2026.M11")</f>
        <v>0</v>
      </c>
      <c r="F11" s="9" t="n">
        <f aca="false">SUMIFS(Datos!$H$2:$H$94,Datos!$B$2:$B$94,"4064941192060",Datos!$D$2:$D$94,"2026.M12")-SUMIFS(Datos!$O$2:$O$94,Datos!$B$2:$B$94,"4064941192060",Datos!$D$2:$D$94,"2026.M12")</f>
        <v>0</v>
      </c>
      <c r="G11" s="9" t="n">
        <f aca="false">SUMIFS(Datos!$H$2:$H$94,Datos!$B$2:$B$94,"4064941192060",Datos!$D$2:$D$94,"2027.M01")-SUMIFS(Datos!$O$2:$O$94,Datos!$B$2:$B$94,"4064941192060",Datos!$D$2:$D$94,"2027.M01")</f>
        <v>0</v>
      </c>
      <c r="H11" s="9" t="n">
        <f aca="false">SUMIFS(Datos!$H$2:$H$94,Datos!$B$2:$B$94,"4064941192060",Datos!$D$2:$D$94,"2027.M02")-SUMIFS(Datos!$O$2:$O$94,Datos!$B$2:$B$94,"4064941192060",Datos!$D$2:$D$94,"2027.M02")</f>
        <v>0</v>
      </c>
      <c r="I11" s="9" t="n">
        <f aca="false">SUMIFS(Datos!$H$2:$H$94,Datos!$B$2:$B$94,"4064941192060",Datos!$D$2:$D$94,"2027.M03")-SUMIFS(Datos!$O$2:$O$94,Datos!$B$2:$B$94,"4064941192060",Datos!$D$2:$D$94,"2027.M03")</f>
        <v>0</v>
      </c>
      <c r="J11" s="9" t="n">
        <f aca="false">SUMIFS(Datos!$H$2:$H$94,Datos!$B$2:$B$94,"4064941192060",Datos!$D$2:$D$94,"2027.M04")-SUMIFS(Datos!$O$2:$O$94,Datos!$B$2:$B$94,"4064941192060",Datos!$D$2:$D$94,"2027.M04")</f>
        <v>0</v>
      </c>
      <c r="K11" s="30" t="n">
        <f aca="false">SUM(C11:J11)</f>
        <v>0</v>
      </c>
    </row>
    <row r="12" customFormat="false" ht="15" hidden="false" customHeight="false" outlineLevel="0" collapsed="false">
      <c r="A12" s="26" t="s">
        <v>129</v>
      </c>
      <c r="B12" s="8" t="s">
        <v>130</v>
      </c>
      <c r="C12" s="9" t="n">
        <f aca="false">SUMIFS(Datos!$H$2:$H$94,Datos!$B$2:$B$94,"4064941200116",Datos!$D$2:$D$94,"2026.M09")-SUMIFS(Datos!$O$2:$O$94,Datos!$B$2:$B$94,"4064941200116",Datos!$D$2:$D$94,"2026.M09")</f>
        <v>0</v>
      </c>
      <c r="D12" s="9" t="n">
        <f aca="false">SUMIFS(Datos!$H$2:$H$94,Datos!$B$2:$B$94,"4064941200116",Datos!$D$2:$D$94,"2026.M10")-SUMIFS(Datos!$O$2:$O$94,Datos!$B$2:$B$94,"4064941200116",Datos!$D$2:$D$94,"2026.M10")</f>
        <v>0</v>
      </c>
      <c r="E12" s="9" t="n">
        <f aca="false">SUMIFS(Datos!$H$2:$H$94,Datos!$B$2:$B$94,"4064941200116",Datos!$D$2:$D$94,"2026.M11")-SUMIFS(Datos!$O$2:$O$94,Datos!$B$2:$B$94,"4064941200116",Datos!$D$2:$D$94,"2026.M11")</f>
        <v>0</v>
      </c>
      <c r="F12" s="9" t="n">
        <f aca="false">SUMIFS(Datos!$H$2:$H$94,Datos!$B$2:$B$94,"4064941200116",Datos!$D$2:$D$94,"2026.M12")-SUMIFS(Datos!$O$2:$O$94,Datos!$B$2:$B$94,"4064941200116",Datos!$D$2:$D$94,"2026.M12")</f>
        <v>0</v>
      </c>
      <c r="G12" s="9" t="n">
        <f aca="false">SUMIFS(Datos!$H$2:$H$94,Datos!$B$2:$B$94,"4064941200116",Datos!$D$2:$D$94,"2027.M01")-SUMIFS(Datos!$O$2:$O$94,Datos!$B$2:$B$94,"4064941200116",Datos!$D$2:$D$94,"2027.M01")</f>
        <v>0</v>
      </c>
      <c r="H12" s="9" t="n">
        <f aca="false">SUMIFS(Datos!$H$2:$H$94,Datos!$B$2:$B$94,"4064941200116",Datos!$D$2:$D$94,"2027.M02")-SUMIFS(Datos!$O$2:$O$94,Datos!$B$2:$B$94,"4064941200116",Datos!$D$2:$D$94,"2027.M02")</f>
        <v>0</v>
      </c>
      <c r="I12" s="9" t="n">
        <f aca="false">SUMIFS(Datos!$H$2:$H$94,Datos!$B$2:$B$94,"4064941200116",Datos!$D$2:$D$94,"2027.M03")-SUMIFS(Datos!$O$2:$O$94,Datos!$B$2:$B$94,"4064941200116",Datos!$D$2:$D$94,"2027.M03")</f>
        <v>0</v>
      </c>
      <c r="J12" s="9" t="n">
        <f aca="false">SUMIFS(Datos!$H$2:$H$94,Datos!$B$2:$B$94,"4064941200116",Datos!$D$2:$D$94,"2027.M04")-SUMIFS(Datos!$O$2:$O$94,Datos!$B$2:$B$94,"4064941200116",Datos!$D$2:$D$94,"2027.M04")</f>
        <v>0</v>
      </c>
      <c r="K12" s="30" t="n">
        <f aca="false">SUM(C12:J12)</f>
        <v>0</v>
      </c>
    </row>
    <row r="13" customFormat="false" ht="15" hidden="false" customHeight="false" outlineLevel="0" collapsed="false">
      <c r="A13" s="26" t="s">
        <v>131</v>
      </c>
      <c r="B13" s="8" t="s">
        <v>132</v>
      </c>
      <c r="C13" s="9" t="n">
        <f aca="false">SUMIFS(Datos!$H$2:$H$94,Datos!$B$2:$B$94,"4064941039662",Datos!$D$2:$D$94,"2026.M09")-SUMIFS(Datos!$O$2:$O$94,Datos!$B$2:$B$94,"4064941039662",Datos!$D$2:$D$94,"2026.M09")</f>
        <v>0</v>
      </c>
      <c r="D13" s="9" t="n">
        <f aca="false">SUMIFS(Datos!$H$2:$H$94,Datos!$B$2:$B$94,"4064941039662",Datos!$D$2:$D$94,"2026.M10")-SUMIFS(Datos!$O$2:$O$94,Datos!$B$2:$B$94,"4064941039662",Datos!$D$2:$D$94,"2026.M10")</f>
        <v>0</v>
      </c>
      <c r="E13" s="9" t="n">
        <f aca="false">SUMIFS(Datos!$H$2:$H$94,Datos!$B$2:$B$94,"4064941039662",Datos!$D$2:$D$94,"2026.M11")-SUMIFS(Datos!$O$2:$O$94,Datos!$B$2:$B$94,"4064941039662",Datos!$D$2:$D$94,"2026.M11")</f>
        <v>0</v>
      </c>
      <c r="F13" s="9" t="n">
        <f aca="false">SUMIFS(Datos!$H$2:$H$94,Datos!$B$2:$B$94,"4064941039662",Datos!$D$2:$D$94,"2026.M12")-SUMIFS(Datos!$O$2:$O$94,Datos!$B$2:$B$94,"4064941039662",Datos!$D$2:$D$94,"2026.M12")</f>
        <v>0</v>
      </c>
      <c r="G13" s="9" t="n">
        <f aca="false">SUMIFS(Datos!$H$2:$H$94,Datos!$B$2:$B$94,"4064941039662",Datos!$D$2:$D$94,"2027.M01")-SUMIFS(Datos!$O$2:$O$94,Datos!$B$2:$B$94,"4064941039662",Datos!$D$2:$D$94,"2027.M01")</f>
        <v>0</v>
      </c>
      <c r="H13" s="9" t="n">
        <f aca="false">SUMIFS(Datos!$H$2:$H$94,Datos!$B$2:$B$94,"4064941039662",Datos!$D$2:$D$94,"2027.M02")-SUMIFS(Datos!$O$2:$O$94,Datos!$B$2:$B$94,"4064941039662",Datos!$D$2:$D$94,"2027.M02")</f>
        <v>0</v>
      </c>
      <c r="I13" s="9" t="n">
        <f aca="false">SUMIFS(Datos!$H$2:$H$94,Datos!$B$2:$B$94,"4064941039662",Datos!$D$2:$D$94,"2027.M03")-SUMIFS(Datos!$O$2:$O$94,Datos!$B$2:$B$94,"4064941039662",Datos!$D$2:$D$94,"2027.M03")</f>
        <v>0</v>
      </c>
      <c r="J13" s="9" t="n">
        <f aca="false">SUMIFS(Datos!$H$2:$H$94,Datos!$B$2:$B$94,"4064941039662",Datos!$D$2:$D$94,"2027.M04")-SUMIFS(Datos!$O$2:$O$94,Datos!$B$2:$B$94,"4064941039662",Datos!$D$2:$D$94,"2027.M04")</f>
        <v>0</v>
      </c>
      <c r="K13" s="30" t="n">
        <f aca="false">SUM(C13:J13)</f>
        <v>0</v>
      </c>
    </row>
    <row r="14" customFormat="false" ht="15" hidden="false" customHeight="false" outlineLevel="0" collapsed="false">
      <c r="A14" s="5" t="s">
        <v>101</v>
      </c>
      <c r="B14" s="27"/>
      <c r="C14" s="6" t="n">
        <f aca="false">SUM(C6:C13)</f>
        <v>1583</v>
      </c>
      <c r="D14" s="6" t="n">
        <f aca="false">SUM(D6:D13)</f>
        <v>-1301</v>
      </c>
      <c r="E14" s="6" t="n">
        <f aca="false">SUM(E6:E13)</f>
        <v>392</v>
      </c>
      <c r="F14" s="6" t="n">
        <f aca="false">SUM(F6:F13)</f>
        <v>600</v>
      </c>
      <c r="G14" s="6" t="n">
        <f aca="false">SUM(G6:G13)</f>
        <v>120</v>
      </c>
      <c r="H14" s="6" t="n">
        <f aca="false">SUM(H6:H13)</f>
        <v>-316</v>
      </c>
      <c r="I14" s="6" t="n">
        <f aca="false">SUM(I6:I13)</f>
        <v>-1887</v>
      </c>
      <c r="J14" s="6" t="n">
        <f aca="false">SUM(J6:J13)</f>
        <v>-1230</v>
      </c>
      <c r="K14" s="6" t="n">
        <f aca="false">SUM(K6:K13)</f>
        <v>-2039</v>
      </c>
    </row>
    <row r="17" customFormat="false" ht="15" hidden="false" customHeight="false" outlineLevel="0" collapsed="false">
      <c r="A17" s="3" t="s">
        <v>136</v>
      </c>
    </row>
    <row r="18" customFormat="false" ht="30" hidden="false" customHeight="true" outlineLevel="0" collapsed="false">
      <c r="A18" s="4" t="s">
        <v>108</v>
      </c>
      <c r="B18" s="4" t="s">
        <v>109</v>
      </c>
      <c r="C18" s="4" t="s">
        <v>71</v>
      </c>
      <c r="D18" s="4" t="s">
        <v>73</v>
      </c>
      <c r="E18" s="4" t="s">
        <v>75</v>
      </c>
      <c r="F18" s="4" t="s">
        <v>76</v>
      </c>
      <c r="G18" s="4" t="s">
        <v>77</v>
      </c>
      <c r="H18" s="4" t="s">
        <v>79</v>
      </c>
      <c r="I18" s="4" t="s">
        <v>80</v>
      </c>
      <c r="J18" s="4" t="s">
        <v>81</v>
      </c>
      <c r="K18" s="4" t="s">
        <v>103</v>
      </c>
    </row>
    <row r="19" customFormat="false" ht="15" hidden="false" customHeight="false" outlineLevel="0" collapsed="false">
      <c r="A19" s="26" t="s">
        <v>115</v>
      </c>
      <c r="B19" s="8" t="s">
        <v>116</v>
      </c>
      <c r="C19" s="9" t="n">
        <f aca="false">SUMIFS(Datos!$H$2:$H$94,Datos!$B$2:$B$94,"4064941161349",Datos!$D$2:$D$94,"2026.M09")</f>
        <v>4157</v>
      </c>
      <c r="D19" s="9" t="n">
        <f aca="false">SUMIFS(Datos!$H$2:$H$94,Datos!$B$2:$B$94,"4064941161349",Datos!$D$2:$D$94,"2026.M10")</f>
        <v>1944</v>
      </c>
      <c r="E19" s="9" t="n">
        <f aca="false">SUMIFS(Datos!$H$2:$H$94,Datos!$B$2:$B$94,"4064941161349",Datos!$D$2:$D$94,"2026.M11")</f>
        <v>2488</v>
      </c>
      <c r="F19" s="9" t="n">
        <f aca="false">SUMIFS(Datos!$H$2:$H$94,Datos!$B$2:$B$94,"4064941161349",Datos!$D$2:$D$94,"2026.M12")</f>
        <v>2927</v>
      </c>
      <c r="G19" s="9" t="n">
        <f aca="false">SUMIFS(Datos!$H$2:$H$94,Datos!$B$2:$B$94,"4064941161349",Datos!$D$2:$D$94,"2027.M01")</f>
        <v>2418</v>
      </c>
      <c r="H19" s="9" t="n">
        <f aca="false">SUMIFS(Datos!$H$2:$H$94,Datos!$B$2:$B$94,"4064941161349",Datos!$D$2:$D$94,"2027.M02")</f>
        <v>3068</v>
      </c>
      <c r="I19" s="9" t="n">
        <f aca="false">SUMIFS(Datos!$H$2:$H$94,Datos!$B$2:$B$94,"4064941161349",Datos!$D$2:$D$94,"2027.M03")</f>
        <v>3011</v>
      </c>
      <c r="J19" s="9" t="n">
        <f aca="false">SUMIFS(Datos!$H$2:$H$94,Datos!$B$2:$B$94,"4064941161349",Datos!$D$2:$D$94,"2027.M04")</f>
        <v>1401</v>
      </c>
      <c r="K19" s="30" t="n">
        <f aca="false">SUM(C19:J19)</f>
        <v>21414</v>
      </c>
    </row>
    <row r="20" customFormat="false" ht="15" hidden="false" customHeight="false" outlineLevel="0" collapsed="false">
      <c r="A20" s="26" t="s">
        <v>118</v>
      </c>
      <c r="B20" s="8" t="s">
        <v>119</v>
      </c>
      <c r="C20" s="9" t="n">
        <f aca="false">SUMIFS(Datos!$H$2:$H$94,Datos!$B$2:$B$94,"4064941117254",Datos!$D$2:$D$94,"2026.M09")</f>
        <v>997</v>
      </c>
      <c r="D20" s="9" t="n">
        <f aca="false">SUMIFS(Datos!$H$2:$H$94,Datos!$B$2:$B$94,"4064941117254",Datos!$D$2:$D$94,"2026.M10")</f>
        <v>563</v>
      </c>
      <c r="E20" s="9" t="n">
        <f aca="false">SUMIFS(Datos!$H$2:$H$94,Datos!$B$2:$B$94,"4064941117254",Datos!$D$2:$D$94,"2026.M11")</f>
        <v>710</v>
      </c>
      <c r="F20" s="9" t="n">
        <f aca="false">SUMIFS(Datos!$H$2:$H$94,Datos!$B$2:$B$94,"4064941117254",Datos!$D$2:$D$94,"2026.M12")</f>
        <v>844</v>
      </c>
      <c r="G20" s="9" t="n">
        <f aca="false">SUMIFS(Datos!$H$2:$H$94,Datos!$B$2:$B$94,"4064941117254",Datos!$D$2:$D$94,"2027.M01")</f>
        <v>633</v>
      </c>
      <c r="H20" s="9" t="n">
        <f aca="false">SUMIFS(Datos!$H$2:$H$94,Datos!$B$2:$B$94,"4064941117254",Datos!$D$2:$D$94,"2027.M02")</f>
        <v>880</v>
      </c>
      <c r="I20" s="9" t="n">
        <f aca="false">SUMIFS(Datos!$H$2:$H$94,Datos!$B$2:$B$94,"4064941117254",Datos!$D$2:$D$94,"2027.M03")</f>
        <v>824</v>
      </c>
      <c r="J20" s="9" t="n">
        <f aca="false">SUMIFS(Datos!$H$2:$H$94,Datos!$B$2:$B$94,"4064941117254",Datos!$D$2:$D$94,"2027.M04")</f>
        <v>418</v>
      </c>
      <c r="K20" s="30" t="n">
        <f aca="false">SUM(C20:J20)</f>
        <v>5869</v>
      </c>
    </row>
    <row r="21" customFormat="false" ht="15" hidden="false" customHeight="false" outlineLevel="0" collapsed="false">
      <c r="A21" s="26" t="s">
        <v>120</v>
      </c>
      <c r="B21" s="8" t="s">
        <v>121</v>
      </c>
      <c r="C21" s="9" t="n">
        <f aca="false">SUMIFS(Datos!$H$2:$H$94,Datos!$B$2:$B$94,"4064941117261",Datos!$D$2:$D$94,"2026.M09")</f>
        <v>245</v>
      </c>
      <c r="D21" s="9" t="n">
        <f aca="false">SUMIFS(Datos!$H$2:$H$94,Datos!$B$2:$B$94,"4064941117261",Datos!$D$2:$D$94,"2026.M10")</f>
        <v>112</v>
      </c>
      <c r="E21" s="9" t="n">
        <f aca="false">SUMIFS(Datos!$H$2:$H$94,Datos!$B$2:$B$94,"4064941117261",Datos!$D$2:$D$94,"2026.M11")</f>
        <v>150</v>
      </c>
      <c r="F21" s="9" t="n">
        <f aca="false">SUMIFS(Datos!$H$2:$H$94,Datos!$B$2:$B$94,"4064941117261",Datos!$D$2:$D$94,"2026.M12")</f>
        <v>174</v>
      </c>
      <c r="G21" s="9" t="n">
        <f aca="false">SUMIFS(Datos!$H$2:$H$94,Datos!$B$2:$B$94,"4064941117261",Datos!$D$2:$D$94,"2027.M01")</f>
        <v>129</v>
      </c>
      <c r="H21" s="9" t="n">
        <f aca="false">SUMIFS(Datos!$H$2:$H$94,Datos!$B$2:$B$94,"4064941117261",Datos!$D$2:$D$94,"2027.M02")</f>
        <v>176</v>
      </c>
      <c r="I21" s="9" t="n">
        <f aca="false">SUMIFS(Datos!$H$2:$H$94,Datos!$B$2:$B$94,"4064941117261",Datos!$D$2:$D$94,"2027.M03")</f>
        <v>173</v>
      </c>
      <c r="J21" s="9" t="n">
        <f aca="false">SUMIFS(Datos!$H$2:$H$94,Datos!$B$2:$B$94,"4064941117261",Datos!$D$2:$D$94,"2027.M04")</f>
        <v>78</v>
      </c>
      <c r="K21" s="30" t="n">
        <f aca="false">SUM(C21:J21)</f>
        <v>1237</v>
      </c>
    </row>
    <row r="22" customFormat="false" ht="15" hidden="false" customHeight="false" outlineLevel="0" collapsed="false">
      <c r="A22" s="26" t="s">
        <v>122</v>
      </c>
      <c r="B22" s="8" t="s">
        <v>123</v>
      </c>
      <c r="C22" s="9" t="n">
        <f aca="false">SUMIFS(Datos!$H$2:$H$94,Datos!$B$2:$B$94,"4064941039655",Datos!$D$2:$D$94,"2026.M09")</f>
        <v>193</v>
      </c>
      <c r="D22" s="9" t="n">
        <f aca="false">SUMIFS(Datos!$H$2:$H$94,Datos!$B$2:$B$94,"4064941039655",Datos!$D$2:$D$94,"2026.M10")</f>
        <v>88</v>
      </c>
      <c r="E22" s="9" t="n">
        <f aca="false">SUMIFS(Datos!$H$2:$H$94,Datos!$B$2:$B$94,"4064941039655",Datos!$D$2:$D$94,"2026.M11")</f>
        <v>116</v>
      </c>
      <c r="F22" s="9" t="n">
        <f aca="false">SUMIFS(Datos!$H$2:$H$94,Datos!$B$2:$B$94,"4064941039655",Datos!$D$2:$D$94,"2026.M12")</f>
        <v>138</v>
      </c>
      <c r="G22" s="9" t="n">
        <f aca="false">SUMIFS(Datos!$H$2:$H$94,Datos!$B$2:$B$94,"4064941039655",Datos!$D$2:$D$94,"2027.M01")</f>
        <v>102</v>
      </c>
      <c r="H22" s="9" t="n">
        <f aca="false">SUMIFS(Datos!$H$2:$H$94,Datos!$B$2:$B$94,"4064941039655",Datos!$D$2:$D$94,"2027.M02")</f>
        <v>140</v>
      </c>
      <c r="I22" s="9" t="n">
        <f aca="false">SUMIFS(Datos!$H$2:$H$94,Datos!$B$2:$B$94,"4064941039655",Datos!$D$2:$D$94,"2027.M03")</f>
        <v>137</v>
      </c>
      <c r="J22" s="9" t="n">
        <f aca="false">SUMIFS(Datos!$H$2:$H$94,Datos!$B$2:$B$94,"4064941039655",Datos!$D$2:$D$94,"2027.M04")</f>
        <v>60</v>
      </c>
      <c r="K22" s="30" t="n">
        <f aca="false">SUM(C22:J22)</f>
        <v>974</v>
      </c>
    </row>
    <row r="23" customFormat="false" ht="15" hidden="false" customHeight="false" outlineLevel="0" collapsed="false">
      <c r="A23" s="26" t="s">
        <v>124</v>
      </c>
      <c r="B23" s="8" t="s">
        <v>125</v>
      </c>
      <c r="C23" s="9" t="n">
        <f aca="false">SUMIFS(Datos!$H$2:$H$94,Datos!$B$2:$B$94,"4064941192046",Datos!$D$2:$D$94,"2026.M09")</f>
        <v>1995</v>
      </c>
      <c r="D23" s="9" t="n">
        <f aca="false">SUMIFS(Datos!$H$2:$H$94,Datos!$B$2:$B$94,"4064941192046",Datos!$D$2:$D$94,"2026.M10")</f>
        <v>1000</v>
      </c>
      <c r="E23" s="9" t="n">
        <f aca="false">SUMIFS(Datos!$H$2:$H$94,Datos!$B$2:$B$94,"4064941192046",Datos!$D$2:$D$94,"2026.M11")</f>
        <v>750</v>
      </c>
      <c r="F23" s="9" t="n">
        <f aca="false">SUMIFS(Datos!$H$2:$H$94,Datos!$B$2:$B$94,"4064941192046",Datos!$D$2:$D$94,"2026.M12")</f>
        <v>750</v>
      </c>
      <c r="G23" s="9" t="n">
        <f aca="false">SUMIFS(Datos!$H$2:$H$94,Datos!$B$2:$B$94,"4064941192046",Datos!$D$2:$D$94,"2027.M01")</f>
        <v>500</v>
      </c>
      <c r="H23" s="9" t="n">
        <f aca="false">SUMIFS(Datos!$H$2:$H$94,Datos!$B$2:$B$94,"4064941192046",Datos!$D$2:$D$94,"2027.M02")</f>
        <v>500</v>
      </c>
      <c r="I23" s="9" t="n">
        <f aca="false">SUMIFS(Datos!$H$2:$H$94,Datos!$B$2:$B$94,"4064941192046",Datos!$D$2:$D$94,"2027.M03")</f>
        <v>500</v>
      </c>
      <c r="J23" s="9" t="n">
        <f aca="false">SUMIFS(Datos!$H$2:$H$94,Datos!$B$2:$B$94,"4064941192046",Datos!$D$2:$D$94,"2027.M04")</f>
        <v>500</v>
      </c>
      <c r="K23" s="30" t="n">
        <f aca="false">SUM(C23:J23)</f>
        <v>6495</v>
      </c>
    </row>
    <row r="24" customFormat="false" ht="15" hidden="false" customHeight="false" outlineLevel="0" collapsed="false">
      <c r="A24" s="26" t="s">
        <v>127</v>
      </c>
      <c r="B24" s="8" t="s">
        <v>128</v>
      </c>
      <c r="C24" s="9" t="n">
        <f aca="false">SUMIFS(Datos!$H$2:$H$94,Datos!$B$2:$B$94,"4064941192060",Datos!$D$2:$D$94,"2026.M09")</f>
        <v>212</v>
      </c>
      <c r="D24" s="9" t="n">
        <f aca="false">SUMIFS(Datos!$H$2:$H$94,Datos!$B$2:$B$94,"4064941192060",Datos!$D$2:$D$94,"2026.M10")</f>
        <v>217</v>
      </c>
      <c r="E24" s="9" t="n">
        <f aca="false">SUMIFS(Datos!$H$2:$H$94,Datos!$B$2:$B$94,"4064941192060",Datos!$D$2:$D$94,"2026.M11")</f>
        <v>212</v>
      </c>
      <c r="F24" s="9" t="n">
        <f aca="false">SUMIFS(Datos!$H$2:$H$94,Datos!$B$2:$B$94,"4064941192060",Datos!$D$2:$D$94,"2026.M12")</f>
        <v>194</v>
      </c>
      <c r="G24" s="9" t="n">
        <f aca="false">SUMIFS(Datos!$H$2:$H$94,Datos!$B$2:$B$94,"4064941192060",Datos!$D$2:$D$94,"2027.M01")</f>
        <v>194</v>
      </c>
      <c r="H24" s="9" t="n">
        <f aca="false">SUMIFS(Datos!$H$2:$H$94,Datos!$B$2:$B$94,"4064941192060",Datos!$D$2:$D$94,"2027.M02")</f>
        <v>200</v>
      </c>
      <c r="I24" s="9" t="n">
        <f aca="false">SUMIFS(Datos!$H$2:$H$94,Datos!$B$2:$B$94,"4064941192060",Datos!$D$2:$D$94,"2027.M03")</f>
        <v>49</v>
      </c>
      <c r="J24" s="9" t="n">
        <f aca="false">SUMIFS(Datos!$H$2:$H$94,Datos!$B$2:$B$94,"4064941192060",Datos!$D$2:$D$94,"2027.M04")</f>
        <v>0</v>
      </c>
      <c r="K24" s="30" t="n">
        <f aca="false">SUM(C24:J24)</f>
        <v>1278</v>
      </c>
    </row>
    <row r="25" customFormat="false" ht="15" hidden="false" customHeight="false" outlineLevel="0" collapsed="false">
      <c r="A25" s="26" t="s">
        <v>129</v>
      </c>
      <c r="B25" s="8" t="s">
        <v>130</v>
      </c>
      <c r="C25" s="9" t="n">
        <f aca="false">SUMIFS(Datos!$H$2:$H$94,Datos!$B$2:$B$94,"4064941200116",Datos!$D$2:$D$94,"2026.M09")</f>
        <v>193</v>
      </c>
      <c r="D25" s="9" t="n">
        <f aca="false">SUMIFS(Datos!$H$2:$H$94,Datos!$B$2:$B$94,"4064941200116",Datos!$D$2:$D$94,"2026.M10")</f>
        <v>179</v>
      </c>
      <c r="E25" s="9" t="n">
        <f aca="false">SUMIFS(Datos!$H$2:$H$94,Datos!$B$2:$B$94,"4064941200116",Datos!$D$2:$D$94,"2026.M11")</f>
        <v>266</v>
      </c>
      <c r="F25" s="9" t="n">
        <f aca="false">SUMIFS(Datos!$H$2:$H$94,Datos!$B$2:$B$94,"4064941200116",Datos!$D$2:$D$94,"2026.M12")</f>
        <v>160</v>
      </c>
      <c r="G25" s="9" t="n">
        <f aca="false">SUMIFS(Datos!$H$2:$H$94,Datos!$B$2:$B$94,"4064941200116",Datos!$D$2:$D$94,"2027.M01")</f>
        <v>167</v>
      </c>
      <c r="H25" s="9" t="n">
        <f aca="false">SUMIFS(Datos!$H$2:$H$94,Datos!$B$2:$B$94,"4064941200116",Datos!$D$2:$D$94,"2027.M02")</f>
        <v>150</v>
      </c>
      <c r="I25" s="9" t="n">
        <f aca="false">SUMIFS(Datos!$H$2:$H$94,Datos!$B$2:$B$94,"4064941200116",Datos!$D$2:$D$94,"2027.M03")</f>
        <v>150</v>
      </c>
      <c r="J25" s="9" t="n">
        <f aca="false">SUMIFS(Datos!$H$2:$H$94,Datos!$B$2:$B$94,"4064941200116",Datos!$D$2:$D$94,"2027.M04")</f>
        <v>150</v>
      </c>
      <c r="K25" s="30" t="n">
        <f aca="false">SUM(C25:J25)</f>
        <v>1415</v>
      </c>
    </row>
    <row r="26" customFormat="false" ht="15" hidden="false" customHeight="false" outlineLevel="0" collapsed="false">
      <c r="A26" s="26" t="s">
        <v>131</v>
      </c>
      <c r="B26" s="8" t="s">
        <v>132</v>
      </c>
      <c r="C26" s="9" t="n">
        <f aca="false">SUMIFS(Datos!$H$2:$H$94,Datos!$B$2:$B$94,"4064941039662",Datos!$D$2:$D$94,"2026.M09")</f>
        <v>0</v>
      </c>
      <c r="D26" s="9" t="n">
        <f aca="false">SUMIFS(Datos!$H$2:$H$94,Datos!$B$2:$B$94,"4064941039662",Datos!$D$2:$D$94,"2026.M10")</f>
        <v>0</v>
      </c>
      <c r="E26" s="9" t="n">
        <f aca="false">SUMIFS(Datos!$H$2:$H$94,Datos!$B$2:$B$94,"4064941039662",Datos!$D$2:$D$94,"2026.M11")</f>
        <v>0</v>
      </c>
      <c r="F26" s="9" t="n">
        <f aca="false">SUMIFS(Datos!$H$2:$H$94,Datos!$B$2:$B$94,"4064941039662",Datos!$D$2:$D$94,"2026.M12")</f>
        <v>0</v>
      </c>
      <c r="G26" s="9" t="n">
        <f aca="false">SUMIFS(Datos!$H$2:$H$94,Datos!$B$2:$B$94,"4064941039662",Datos!$D$2:$D$94,"2027.M01")</f>
        <v>0</v>
      </c>
      <c r="H26" s="9" t="n">
        <f aca="false">SUMIFS(Datos!$H$2:$H$94,Datos!$B$2:$B$94,"4064941039662",Datos!$D$2:$D$94,"2027.M02")</f>
        <v>0</v>
      </c>
      <c r="I26" s="9" t="n">
        <f aca="false">SUMIFS(Datos!$H$2:$H$94,Datos!$B$2:$B$94,"4064941039662",Datos!$D$2:$D$94,"2027.M03")</f>
        <v>0</v>
      </c>
      <c r="J26" s="9" t="n">
        <f aca="false">SUMIFS(Datos!$H$2:$H$94,Datos!$B$2:$B$94,"4064941039662",Datos!$D$2:$D$94,"2027.M04")</f>
        <v>0</v>
      </c>
      <c r="K26" s="30" t="n">
        <f aca="false">SUM(C26:J26)</f>
        <v>0</v>
      </c>
    </row>
    <row r="27" customFormat="false" ht="15" hidden="false" customHeight="false" outlineLevel="0" collapsed="false">
      <c r="A27" s="5" t="s">
        <v>101</v>
      </c>
      <c r="B27" s="27"/>
      <c r="C27" s="6" t="n">
        <f aca="false">SUM(C19:C26)</f>
        <v>7992</v>
      </c>
      <c r="D27" s="6" t="n">
        <f aca="false">SUM(D19:D26)</f>
        <v>4103</v>
      </c>
      <c r="E27" s="6" t="n">
        <f aca="false">SUM(E19:E26)</f>
        <v>4692</v>
      </c>
      <c r="F27" s="6" t="n">
        <f aca="false">SUM(F19:F26)</f>
        <v>5187</v>
      </c>
      <c r="G27" s="6" t="n">
        <f aca="false">SUM(G19:G26)</f>
        <v>4143</v>
      </c>
      <c r="H27" s="6" t="n">
        <f aca="false">SUM(H19:H26)</f>
        <v>5114</v>
      </c>
      <c r="I27" s="6" t="n">
        <f aca="false">SUM(I19:I26)</f>
        <v>4844</v>
      </c>
      <c r="J27" s="6" t="n">
        <f aca="false">SUM(J19:J26)</f>
        <v>2607</v>
      </c>
      <c r="K27" s="6" t="n">
        <f aca="false">SUM(K19:K26)</f>
        <v>38682</v>
      </c>
    </row>
    <row r="30" customFormat="false" ht="15" hidden="false" customHeight="false" outlineLevel="0" collapsed="false">
      <c r="A30" s="3" t="s">
        <v>137</v>
      </c>
    </row>
    <row r="31" customFormat="false" ht="30" hidden="false" customHeight="true" outlineLevel="0" collapsed="false">
      <c r="A31" s="4" t="s">
        <v>108</v>
      </c>
      <c r="B31" s="4" t="s">
        <v>109</v>
      </c>
      <c r="C31" s="4" t="s">
        <v>71</v>
      </c>
      <c r="D31" s="4" t="s">
        <v>73</v>
      </c>
      <c r="E31" s="4" t="s">
        <v>75</v>
      </c>
      <c r="F31" s="4" t="s">
        <v>76</v>
      </c>
      <c r="G31" s="4" t="s">
        <v>77</v>
      </c>
      <c r="H31" s="4" t="s">
        <v>79</v>
      </c>
      <c r="I31" s="4" t="s">
        <v>80</v>
      </c>
      <c r="J31" s="4" t="s">
        <v>81</v>
      </c>
      <c r="K31" s="4" t="s">
        <v>103</v>
      </c>
    </row>
    <row r="32" customFormat="false" ht="15" hidden="false" customHeight="false" outlineLevel="0" collapsed="false">
      <c r="A32" s="26" t="s">
        <v>115</v>
      </c>
      <c r="B32" s="8" t="s">
        <v>116</v>
      </c>
      <c r="C32" s="9" t="n">
        <f aca="false">SUMIFS(Datos!$O$2:$O$94,Datos!$B$2:$B$94,"4064941161349",Datos!$D$2:$D$94,"2026.M09")</f>
        <v>3293</v>
      </c>
      <c r="D32" s="9" t="n">
        <f aca="false">SUMIFS(Datos!$O$2:$O$94,Datos!$B$2:$B$94,"4064941161349",Datos!$D$2:$D$94,"2026.M10")</f>
        <v>2906</v>
      </c>
      <c r="E32" s="9" t="n">
        <f aca="false">SUMIFS(Datos!$O$2:$O$94,Datos!$B$2:$B$94,"4064941161349",Datos!$D$2:$D$94,"2026.M11")</f>
        <v>2391</v>
      </c>
      <c r="F32" s="9" t="n">
        <f aca="false">SUMIFS(Datos!$O$2:$O$94,Datos!$B$2:$B$94,"4064941161349",Datos!$D$2:$D$94,"2026.M12")</f>
        <v>2915</v>
      </c>
      <c r="G32" s="9" t="n">
        <f aca="false">SUMIFS(Datos!$O$2:$O$94,Datos!$B$2:$B$94,"4064941161349",Datos!$D$2:$D$94,"2027.M01")</f>
        <v>2468</v>
      </c>
      <c r="H32" s="9" t="n">
        <f aca="false">SUMIFS(Datos!$O$2:$O$94,Datos!$B$2:$B$94,"4064941161349",Datos!$D$2:$D$94,"2027.M02")</f>
        <v>2409</v>
      </c>
      <c r="I32" s="9" t="n">
        <f aca="false">SUMIFS(Datos!$O$2:$O$94,Datos!$B$2:$B$94,"4064941161349",Datos!$D$2:$D$94,"2027.M03")</f>
        <v>4916</v>
      </c>
      <c r="J32" s="9" t="n">
        <f aca="false">SUMIFS(Datos!$O$2:$O$94,Datos!$B$2:$B$94,"4064941161349",Datos!$D$2:$D$94,"2027.M04")</f>
        <v>2624</v>
      </c>
      <c r="K32" s="30" t="n">
        <f aca="false">SUM(C32:J32)</f>
        <v>23922</v>
      </c>
    </row>
    <row r="33" customFormat="false" ht="15" hidden="false" customHeight="false" outlineLevel="0" collapsed="false">
      <c r="A33" s="26" t="s">
        <v>118</v>
      </c>
      <c r="B33" s="8" t="s">
        <v>119</v>
      </c>
      <c r="C33" s="9" t="n">
        <f aca="false">SUMIFS(Datos!$O$2:$O$94,Datos!$B$2:$B$94,"4064941117254",Datos!$D$2:$D$94,"2026.M09")</f>
        <v>453</v>
      </c>
      <c r="D33" s="9" t="n">
        <f aca="false">SUMIFS(Datos!$O$2:$O$94,Datos!$B$2:$B$94,"4064941117254",Datos!$D$2:$D$94,"2026.M10")</f>
        <v>840</v>
      </c>
      <c r="E33" s="9" t="n">
        <f aca="false">SUMIFS(Datos!$O$2:$O$94,Datos!$B$2:$B$94,"4064941117254",Datos!$D$2:$D$94,"2026.M11")</f>
        <v>437</v>
      </c>
      <c r="F33" s="9" t="n">
        <f aca="false">SUMIFS(Datos!$O$2:$O$94,Datos!$B$2:$B$94,"4064941117254",Datos!$D$2:$D$94,"2026.M12")</f>
        <v>302</v>
      </c>
      <c r="G33" s="9" t="n">
        <f aca="false">SUMIFS(Datos!$O$2:$O$94,Datos!$B$2:$B$94,"4064941117254",Datos!$D$2:$D$94,"2027.M01")</f>
        <v>454</v>
      </c>
      <c r="H33" s="9" t="n">
        <f aca="false">SUMIFS(Datos!$O$2:$O$94,Datos!$B$2:$B$94,"4064941117254",Datos!$D$2:$D$94,"2027.M02")</f>
        <v>1887</v>
      </c>
      <c r="I33" s="9" t="n">
        <f aca="false">SUMIFS(Datos!$O$2:$O$94,Datos!$B$2:$B$94,"4064941117254",Datos!$D$2:$D$94,"2027.M03")</f>
        <v>827</v>
      </c>
      <c r="J33" s="9" t="n">
        <f aca="false">SUMIFS(Datos!$O$2:$O$94,Datos!$B$2:$B$94,"4064941117254",Datos!$D$2:$D$94,"2027.M04")</f>
        <v>327</v>
      </c>
      <c r="K33" s="30" t="n">
        <f aca="false">SUM(C33:J33)</f>
        <v>5527</v>
      </c>
    </row>
    <row r="34" customFormat="false" ht="15" hidden="false" customHeight="false" outlineLevel="0" collapsed="false">
      <c r="A34" s="26" t="s">
        <v>120</v>
      </c>
      <c r="B34" s="8" t="s">
        <v>121</v>
      </c>
      <c r="C34" s="9" t="n">
        <f aca="false">SUMIFS(Datos!$O$2:$O$94,Datos!$B$2:$B$94,"4064941117261",Datos!$D$2:$D$94,"2026.M09")</f>
        <v>142</v>
      </c>
      <c r="D34" s="9" t="n">
        <f aca="false">SUMIFS(Datos!$O$2:$O$94,Datos!$B$2:$B$94,"4064941117261",Datos!$D$2:$D$94,"2026.M10")</f>
        <v>146</v>
      </c>
      <c r="E34" s="9" t="n">
        <f aca="false">SUMIFS(Datos!$O$2:$O$94,Datos!$B$2:$B$94,"4064941117261",Datos!$D$2:$D$94,"2026.M11")</f>
        <v>132</v>
      </c>
      <c r="F34" s="9" t="n">
        <f aca="false">SUMIFS(Datos!$O$2:$O$94,Datos!$B$2:$B$94,"4064941117261",Datos!$D$2:$D$94,"2026.M12")</f>
        <v>146</v>
      </c>
      <c r="G34" s="9" t="n">
        <f aca="false">SUMIFS(Datos!$O$2:$O$94,Datos!$B$2:$B$94,"4064941117261",Datos!$D$2:$D$94,"2027.M01")</f>
        <v>133</v>
      </c>
      <c r="H34" s="9" t="n">
        <f aca="false">SUMIFS(Datos!$O$2:$O$94,Datos!$B$2:$B$94,"4064941117261",Datos!$D$2:$D$94,"2027.M02")</f>
        <v>156</v>
      </c>
      <c r="I34" s="9" t="n">
        <f aca="false">SUMIFS(Datos!$O$2:$O$94,Datos!$B$2:$B$94,"4064941117261",Datos!$D$2:$D$94,"2027.M03")</f>
        <v>160</v>
      </c>
      <c r="J34" s="9" t="n">
        <f aca="false">SUMIFS(Datos!$O$2:$O$94,Datos!$B$2:$B$94,"4064941117261",Datos!$D$2:$D$94,"2027.M04")</f>
        <v>129</v>
      </c>
      <c r="K34" s="30" t="n">
        <f aca="false">SUM(C34:J34)</f>
        <v>1144</v>
      </c>
    </row>
    <row r="35" customFormat="false" ht="15" hidden="false" customHeight="false" outlineLevel="0" collapsed="false">
      <c r="A35" s="26" t="s">
        <v>122</v>
      </c>
      <c r="B35" s="8" t="s">
        <v>123</v>
      </c>
      <c r="C35" s="9" t="n">
        <f aca="false">SUMIFS(Datos!$O$2:$O$94,Datos!$B$2:$B$94,"4064941039655",Datos!$D$2:$D$94,"2026.M09")</f>
        <v>116</v>
      </c>
      <c r="D35" s="9" t="n">
        <f aca="false">SUMIFS(Datos!$O$2:$O$94,Datos!$B$2:$B$94,"4064941039655",Datos!$D$2:$D$94,"2026.M10")</f>
        <v>116</v>
      </c>
      <c r="E35" s="9" t="n">
        <f aca="false">SUMIFS(Datos!$O$2:$O$94,Datos!$B$2:$B$94,"4064941039655",Datos!$D$2:$D$94,"2026.M11")</f>
        <v>112</v>
      </c>
      <c r="F35" s="9" t="n">
        <f aca="false">SUMIFS(Datos!$O$2:$O$94,Datos!$B$2:$B$94,"4064941039655",Datos!$D$2:$D$94,"2026.M12")</f>
        <v>120</v>
      </c>
      <c r="G35" s="9" t="n">
        <f aca="false">SUMIFS(Datos!$O$2:$O$94,Datos!$B$2:$B$94,"4064941039655",Datos!$D$2:$D$94,"2027.M01")</f>
        <v>107</v>
      </c>
      <c r="H35" s="9" t="n">
        <f aca="false">SUMIFS(Datos!$O$2:$O$94,Datos!$B$2:$B$94,"4064941039655",Datos!$D$2:$D$94,"2027.M02")</f>
        <v>128</v>
      </c>
      <c r="I35" s="9" t="n">
        <f aca="false">SUMIFS(Datos!$O$2:$O$94,Datos!$B$2:$B$94,"4064941039655",Datos!$D$2:$D$94,"2027.M03")</f>
        <v>129</v>
      </c>
      <c r="J35" s="9" t="n">
        <f aca="false">SUMIFS(Datos!$O$2:$O$94,Datos!$B$2:$B$94,"4064941039655",Datos!$D$2:$D$94,"2027.M04")</f>
        <v>107</v>
      </c>
      <c r="K35" s="30" t="n">
        <f aca="false">SUM(C35:J35)</f>
        <v>935</v>
      </c>
    </row>
    <row r="36" customFormat="false" ht="15" hidden="false" customHeight="false" outlineLevel="0" collapsed="false">
      <c r="A36" s="26" t="s">
        <v>124</v>
      </c>
      <c r="B36" s="8" t="s">
        <v>125</v>
      </c>
      <c r="C36" s="9" t="n">
        <f aca="false">SUMIFS(Datos!$O$2:$O$94,Datos!$B$2:$B$94,"4064941192046",Datos!$D$2:$D$94,"2026.M09")</f>
        <v>2000</v>
      </c>
      <c r="D36" s="9" t="n">
        <f aca="false">SUMIFS(Datos!$O$2:$O$94,Datos!$B$2:$B$94,"4064941192046",Datos!$D$2:$D$94,"2026.M10")</f>
        <v>1000</v>
      </c>
      <c r="E36" s="9" t="n">
        <f aca="false">SUMIFS(Datos!$O$2:$O$94,Datos!$B$2:$B$94,"4064941192046",Datos!$D$2:$D$94,"2026.M11")</f>
        <v>750</v>
      </c>
      <c r="F36" s="9" t="n">
        <f aca="false">SUMIFS(Datos!$O$2:$O$94,Datos!$B$2:$B$94,"4064941192046",Datos!$D$2:$D$94,"2026.M12")</f>
        <v>750</v>
      </c>
      <c r="G36" s="9" t="n">
        <f aca="false">SUMIFS(Datos!$O$2:$O$94,Datos!$B$2:$B$94,"4064941192046",Datos!$D$2:$D$94,"2027.M01")</f>
        <v>500</v>
      </c>
      <c r="H36" s="9" t="n">
        <f aca="false">SUMIFS(Datos!$O$2:$O$94,Datos!$B$2:$B$94,"4064941192046",Datos!$D$2:$D$94,"2027.M02")</f>
        <v>500</v>
      </c>
      <c r="I36" s="9" t="n">
        <f aca="false">SUMIFS(Datos!$O$2:$O$94,Datos!$B$2:$B$94,"4064941192046",Datos!$D$2:$D$94,"2027.M03")</f>
        <v>500</v>
      </c>
      <c r="J36" s="9" t="n">
        <f aca="false">SUMIFS(Datos!$O$2:$O$94,Datos!$B$2:$B$94,"4064941192046",Datos!$D$2:$D$94,"2027.M04")</f>
        <v>500</v>
      </c>
      <c r="K36" s="30" t="n">
        <f aca="false">SUM(C36:J36)</f>
        <v>6500</v>
      </c>
    </row>
    <row r="37" customFormat="false" ht="15" hidden="false" customHeight="false" outlineLevel="0" collapsed="false">
      <c r="A37" s="26" t="s">
        <v>127</v>
      </c>
      <c r="B37" s="8" t="s">
        <v>128</v>
      </c>
      <c r="C37" s="9" t="n">
        <f aca="false">SUMIFS(Datos!$O$2:$O$94,Datos!$B$2:$B$94,"4064941192060",Datos!$D$2:$D$94,"2026.M09")</f>
        <v>212</v>
      </c>
      <c r="D37" s="9" t="n">
        <f aca="false">SUMIFS(Datos!$O$2:$O$94,Datos!$B$2:$B$94,"4064941192060",Datos!$D$2:$D$94,"2026.M10")</f>
        <v>217</v>
      </c>
      <c r="E37" s="9" t="n">
        <f aca="false">SUMIFS(Datos!$O$2:$O$94,Datos!$B$2:$B$94,"4064941192060",Datos!$D$2:$D$94,"2026.M11")</f>
        <v>212</v>
      </c>
      <c r="F37" s="9" t="n">
        <f aca="false">SUMIFS(Datos!$O$2:$O$94,Datos!$B$2:$B$94,"4064941192060",Datos!$D$2:$D$94,"2026.M12")</f>
        <v>194</v>
      </c>
      <c r="G37" s="9" t="n">
        <f aca="false">SUMIFS(Datos!$O$2:$O$94,Datos!$B$2:$B$94,"4064941192060",Datos!$D$2:$D$94,"2027.M01")</f>
        <v>194</v>
      </c>
      <c r="H37" s="9" t="n">
        <f aca="false">SUMIFS(Datos!$O$2:$O$94,Datos!$B$2:$B$94,"4064941192060",Datos!$D$2:$D$94,"2027.M02")</f>
        <v>200</v>
      </c>
      <c r="I37" s="9" t="n">
        <f aca="false">SUMIFS(Datos!$O$2:$O$94,Datos!$B$2:$B$94,"4064941192060",Datos!$D$2:$D$94,"2027.M03")</f>
        <v>49</v>
      </c>
      <c r="J37" s="9" t="n">
        <f aca="false">SUMIFS(Datos!$O$2:$O$94,Datos!$B$2:$B$94,"4064941192060",Datos!$D$2:$D$94,"2027.M04")</f>
        <v>0</v>
      </c>
      <c r="K37" s="30" t="n">
        <f aca="false">SUM(C37:J37)</f>
        <v>1278</v>
      </c>
    </row>
    <row r="38" customFormat="false" ht="15" hidden="false" customHeight="false" outlineLevel="0" collapsed="false">
      <c r="A38" s="26" t="s">
        <v>129</v>
      </c>
      <c r="B38" s="8" t="s">
        <v>130</v>
      </c>
      <c r="C38" s="9" t="n">
        <f aca="false">SUMIFS(Datos!$O$2:$O$94,Datos!$B$2:$B$94,"4064941200116",Datos!$D$2:$D$94,"2026.M09")</f>
        <v>193</v>
      </c>
      <c r="D38" s="9" t="n">
        <f aca="false">SUMIFS(Datos!$O$2:$O$94,Datos!$B$2:$B$94,"4064941200116",Datos!$D$2:$D$94,"2026.M10")</f>
        <v>179</v>
      </c>
      <c r="E38" s="9" t="n">
        <f aca="false">SUMIFS(Datos!$O$2:$O$94,Datos!$B$2:$B$94,"4064941200116",Datos!$D$2:$D$94,"2026.M11")</f>
        <v>266</v>
      </c>
      <c r="F38" s="9" t="n">
        <f aca="false">SUMIFS(Datos!$O$2:$O$94,Datos!$B$2:$B$94,"4064941200116",Datos!$D$2:$D$94,"2026.M12")</f>
        <v>160</v>
      </c>
      <c r="G38" s="9" t="n">
        <f aca="false">SUMIFS(Datos!$O$2:$O$94,Datos!$B$2:$B$94,"4064941200116",Datos!$D$2:$D$94,"2027.M01")</f>
        <v>167</v>
      </c>
      <c r="H38" s="9" t="n">
        <f aca="false">SUMIFS(Datos!$O$2:$O$94,Datos!$B$2:$B$94,"4064941200116",Datos!$D$2:$D$94,"2027.M02")</f>
        <v>150</v>
      </c>
      <c r="I38" s="9" t="n">
        <f aca="false">SUMIFS(Datos!$O$2:$O$94,Datos!$B$2:$B$94,"4064941200116",Datos!$D$2:$D$94,"2027.M03")</f>
        <v>150</v>
      </c>
      <c r="J38" s="9" t="n">
        <f aca="false">SUMIFS(Datos!$O$2:$O$94,Datos!$B$2:$B$94,"4064941200116",Datos!$D$2:$D$94,"2027.M04")</f>
        <v>150</v>
      </c>
      <c r="K38" s="30" t="n">
        <f aca="false">SUM(C38:J38)</f>
        <v>1415</v>
      </c>
    </row>
    <row r="39" customFormat="false" ht="15" hidden="false" customHeight="false" outlineLevel="0" collapsed="false">
      <c r="A39" s="26" t="s">
        <v>131</v>
      </c>
      <c r="B39" s="8" t="s">
        <v>132</v>
      </c>
      <c r="C39" s="9" t="n">
        <f aca="false">SUMIFS(Datos!$O$2:$O$94,Datos!$B$2:$B$94,"4064941039662",Datos!$D$2:$D$94,"2026.M09")</f>
        <v>0</v>
      </c>
      <c r="D39" s="9" t="n">
        <f aca="false">SUMIFS(Datos!$O$2:$O$94,Datos!$B$2:$B$94,"4064941039662",Datos!$D$2:$D$94,"2026.M10")</f>
        <v>0</v>
      </c>
      <c r="E39" s="9" t="n">
        <f aca="false">SUMIFS(Datos!$O$2:$O$94,Datos!$B$2:$B$94,"4064941039662",Datos!$D$2:$D$94,"2026.M11")</f>
        <v>0</v>
      </c>
      <c r="F39" s="9" t="n">
        <f aca="false">SUMIFS(Datos!$O$2:$O$94,Datos!$B$2:$B$94,"4064941039662",Datos!$D$2:$D$94,"2026.M12")</f>
        <v>0</v>
      </c>
      <c r="G39" s="9" t="n">
        <f aca="false">SUMIFS(Datos!$O$2:$O$94,Datos!$B$2:$B$94,"4064941039662",Datos!$D$2:$D$94,"2027.M01")</f>
        <v>0</v>
      </c>
      <c r="H39" s="9" t="n">
        <f aca="false">SUMIFS(Datos!$O$2:$O$94,Datos!$B$2:$B$94,"4064941039662",Datos!$D$2:$D$94,"2027.M02")</f>
        <v>0</v>
      </c>
      <c r="I39" s="9" t="n">
        <f aca="false">SUMIFS(Datos!$O$2:$O$94,Datos!$B$2:$B$94,"4064941039662",Datos!$D$2:$D$94,"2027.M03")</f>
        <v>0</v>
      </c>
      <c r="J39" s="9" t="n">
        <f aca="false">SUMIFS(Datos!$O$2:$O$94,Datos!$B$2:$B$94,"4064941039662",Datos!$D$2:$D$94,"2027.M04")</f>
        <v>0</v>
      </c>
      <c r="K39" s="30" t="n">
        <f aca="false">SUM(C39:J39)</f>
        <v>0</v>
      </c>
    </row>
    <row r="40" customFormat="false" ht="15" hidden="false" customHeight="false" outlineLevel="0" collapsed="false">
      <c r="A40" s="5" t="s">
        <v>101</v>
      </c>
      <c r="B40" s="27"/>
      <c r="C40" s="6" t="n">
        <f aca="false">SUM(C32:C39)</f>
        <v>6409</v>
      </c>
      <c r="D40" s="6" t="n">
        <f aca="false">SUM(D32:D39)</f>
        <v>5404</v>
      </c>
      <c r="E40" s="6" t="n">
        <f aca="false">SUM(E32:E39)</f>
        <v>4300</v>
      </c>
      <c r="F40" s="6" t="n">
        <f aca="false">SUM(F32:F39)</f>
        <v>4587</v>
      </c>
      <c r="G40" s="6" t="n">
        <f aca="false">SUM(G32:G39)</f>
        <v>4023</v>
      </c>
      <c r="H40" s="6" t="n">
        <f aca="false">SUM(H32:H39)</f>
        <v>5430</v>
      </c>
      <c r="I40" s="6" t="n">
        <f aca="false">SUM(I32:I39)</f>
        <v>6731</v>
      </c>
      <c r="J40" s="6" t="n">
        <f aca="false">SUM(J32:J39)</f>
        <v>3837</v>
      </c>
      <c r="K40" s="6" t="n">
        <f aca="false">SUM(K32:K39)</f>
        <v>40721</v>
      </c>
    </row>
    <row r="43" customFormat="false" ht="15" hidden="false" customHeight="false" outlineLevel="0" collapsed="false">
      <c r="A43" s="3" t="s">
        <v>138</v>
      </c>
    </row>
    <row r="44" customFormat="false" ht="30" hidden="false" customHeight="true" outlineLevel="0" collapsed="false">
      <c r="A44" s="4" t="s">
        <v>108</v>
      </c>
      <c r="B44" s="4" t="s">
        <v>109</v>
      </c>
      <c r="C44" s="4" t="s">
        <v>71</v>
      </c>
      <c r="D44" s="4" t="s">
        <v>73</v>
      </c>
      <c r="E44" s="4" t="s">
        <v>75</v>
      </c>
      <c r="F44" s="4" t="s">
        <v>76</v>
      </c>
      <c r="G44" s="4" t="s">
        <v>77</v>
      </c>
      <c r="H44" s="4" t="s">
        <v>79</v>
      </c>
      <c r="I44" s="4" t="s">
        <v>80</v>
      </c>
      <c r="J44" s="4" t="s">
        <v>81</v>
      </c>
      <c r="K44" s="4" t="s">
        <v>103</v>
      </c>
    </row>
    <row r="45" customFormat="false" ht="15" hidden="false" customHeight="false" outlineLevel="0" collapsed="false">
      <c r="A45" s="26" t="s">
        <v>115</v>
      </c>
      <c r="B45" s="8" t="s">
        <v>116</v>
      </c>
      <c r="C45" s="9" t="n">
        <f aca="false">SUMIFS(Datos!$T$2:$T$94,Datos!$B$2:$B$94,"4064941161349",Datos!$D$2:$D$94,"2026.M09")</f>
        <v>3351</v>
      </c>
      <c r="D45" s="9" t="n">
        <f aca="false">SUMIFS(Datos!$T$2:$T$94,Datos!$B$2:$B$94,"4064941161349",Datos!$D$2:$D$94,"2026.M10")</f>
        <v>4845</v>
      </c>
      <c r="E45" s="9" t="n">
        <f aca="false">SUMIFS(Datos!$T$2:$T$94,Datos!$B$2:$B$94,"4064941161349",Datos!$D$2:$D$94,"2026.M11")</f>
        <v>2549</v>
      </c>
      <c r="F45" s="9" t="n">
        <f aca="false">SUMIFS(Datos!$T$2:$T$94,Datos!$B$2:$B$94,"4064941161349",Datos!$D$2:$D$94,"2026.M12")</f>
        <v>2772</v>
      </c>
      <c r="G45" s="9" t="n">
        <f aca="false">SUMIFS(Datos!$T$2:$T$94,Datos!$B$2:$B$94,"4064941161349",Datos!$D$2:$D$94,"2027.M01")</f>
        <v>3464</v>
      </c>
      <c r="H45" s="9" t="n">
        <f aca="false">SUMIFS(Datos!$T$2:$T$94,Datos!$B$2:$B$94,"4064941161349",Datos!$D$2:$D$94,"2027.M02")</f>
        <v>3102</v>
      </c>
      <c r="I45" s="9" t="n">
        <f aca="false">SUMIFS(Datos!$T$2:$T$94,Datos!$B$2:$B$94,"4064941161349",Datos!$D$2:$D$94,"2027.M03")</f>
        <v>5014</v>
      </c>
      <c r="J45" s="9" t="n">
        <f aca="false">SUMIFS(Datos!$T$2:$T$94,Datos!$B$2:$B$94,"4064941161349",Datos!$D$2:$D$94,"2027.M04")</f>
        <v>2447</v>
      </c>
      <c r="K45" s="30" t="n">
        <f aca="false">SUM(C45:J45)</f>
        <v>27544</v>
      </c>
    </row>
    <row r="46" customFormat="false" ht="15" hidden="false" customHeight="false" outlineLevel="0" collapsed="false">
      <c r="A46" s="26" t="s">
        <v>118</v>
      </c>
      <c r="B46" s="8" t="s">
        <v>119</v>
      </c>
      <c r="C46" s="9" t="n">
        <f aca="false">SUMIFS(Datos!$T$2:$T$94,Datos!$B$2:$B$94,"4064941117254",Datos!$D$2:$D$94,"2026.M09")</f>
        <v>672</v>
      </c>
      <c r="D46" s="9" t="n">
        <f aca="false">SUMIFS(Datos!$T$2:$T$94,Datos!$B$2:$B$94,"4064941117254",Datos!$D$2:$D$94,"2026.M10")</f>
        <v>741</v>
      </c>
      <c r="E46" s="9" t="n">
        <f aca="false">SUMIFS(Datos!$T$2:$T$94,Datos!$B$2:$B$94,"4064941117254",Datos!$D$2:$D$94,"2026.M11")</f>
        <v>388</v>
      </c>
      <c r="F46" s="9" t="n">
        <f aca="false">SUMIFS(Datos!$T$2:$T$94,Datos!$B$2:$B$94,"4064941117254",Datos!$D$2:$D$94,"2026.M12")</f>
        <v>429</v>
      </c>
      <c r="G46" s="9" t="n">
        <f aca="false">SUMIFS(Datos!$T$2:$T$94,Datos!$B$2:$B$94,"4064941117254",Datos!$D$2:$D$94,"2027.M01")</f>
        <v>714</v>
      </c>
      <c r="H46" s="9" t="n">
        <f aca="false">SUMIFS(Datos!$T$2:$T$94,Datos!$B$2:$B$94,"4064941117254",Datos!$D$2:$D$94,"2027.M02")</f>
        <v>2665</v>
      </c>
      <c r="I46" s="9" t="n">
        <f aca="false">SUMIFS(Datos!$T$2:$T$94,Datos!$B$2:$B$94,"4064941117254",Datos!$D$2:$D$94,"2027.M03")</f>
        <v>1419</v>
      </c>
      <c r="J46" s="9" t="n">
        <f aca="false">SUMIFS(Datos!$T$2:$T$94,Datos!$B$2:$B$94,"4064941117254",Datos!$D$2:$D$94,"2027.M04")</f>
        <v>296</v>
      </c>
      <c r="K46" s="30" t="n">
        <f aca="false">SUM(C46:J46)</f>
        <v>7324</v>
      </c>
    </row>
    <row r="47" customFormat="false" ht="15" hidden="false" customHeight="false" outlineLevel="0" collapsed="false">
      <c r="A47" s="26" t="s">
        <v>120</v>
      </c>
      <c r="B47" s="8" t="s">
        <v>121</v>
      </c>
      <c r="C47" s="9" t="n">
        <f aca="false">SUMIFS(Datos!$T$2:$T$94,Datos!$B$2:$B$94,"4064941117261",Datos!$D$2:$D$94,"2026.M09")</f>
        <v>213</v>
      </c>
      <c r="D47" s="9" t="n">
        <f aca="false">SUMIFS(Datos!$T$2:$T$94,Datos!$B$2:$B$94,"4064941117261",Datos!$D$2:$D$94,"2026.M10")</f>
        <v>113</v>
      </c>
      <c r="E47" s="9" t="n">
        <f aca="false">SUMIFS(Datos!$T$2:$T$94,Datos!$B$2:$B$94,"4064941117261",Datos!$D$2:$D$94,"2026.M11")</f>
        <v>119</v>
      </c>
      <c r="F47" s="9" t="n">
        <f aca="false">SUMIFS(Datos!$T$2:$T$94,Datos!$B$2:$B$94,"4064941117261",Datos!$D$2:$D$94,"2026.M12")</f>
        <v>129</v>
      </c>
      <c r="G47" s="9" t="n">
        <f aca="false">SUMIFS(Datos!$T$2:$T$94,Datos!$B$2:$B$94,"4064941117261",Datos!$D$2:$D$94,"2027.M01")</f>
        <v>103</v>
      </c>
      <c r="H47" s="9" t="n">
        <f aca="false">SUMIFS(Datos!$T$2:$T$94,Datos!$B$2:$B$94,"4064941117261",Datos!$D$2:$D$94,"2027.M02")</f>
        <v>220</v>
      </c>
      <c r="I47" s="9" t="n">
        <f aca="false">SUMIFS(Datos!$T$2:$T$94,Datos!$B$2:$B$94,"4064941117261",Datos!$D$2:$D$94,"2027.M03")</f>
        <v>110</v>
      </c>
      <c r="J47" s="9" t="n">
        <f aca="false">SUMIFS(Datos!$T$2:$T$94,Datos!$B$2:$B$94,"4064941117261",Datos!$D$2:$D$94,"2027.M04")</f>
        <v>66</v>
      </c>
      <c r="K47" s="30" t="n">
        <f aca="false">SUM(C47:J47)</f>
        <v>1073</v>
      </c>
    </row>
    <row r="48" customFormat="false" ht="15" hidden="false" customHeight="false" outlineLevel="0" collapsed="false">
      <c r="A48" s="26" t="s">
        <v>122</v>
      </c>
      <c r="B48" s="8" t="s">
        <v>123</v>
      </c>
      <c r="C48" s="9" t="n">
        <f aca="false">SUMIFS(Datos!$T$2:$T$94,Datos!$B$2:$B$94,"4064941039655",Datos!$D$2:$D$94,"2026.M09")</f>
        <v>336</v>
      </c>
      <c r="D48" s="9" t="n">
        <f aca="false">SUMIFS(Datos!$T$2:$T$94,Datos!$B$2:$B$94,"4064941039655",Datos!$D$2:$D$94,"2026.M10")</f>
        <v>11</v>
      </c>
      <c r="E48" s="9" t="n">
        <f aca="false">SUMIFS(Datos!$T$2:$T$94,Datos!$B$2:$B$94,"4064941039655",Datos!$D$2:$D$94,"2026.M11")</f>
        <v>47</v>
      </c>
      <c r="F48" s="9" t="n">
        <f aca="false">SUMIFS(Datos!$T$2:$T$94,Datos!$B$2:$B$94,"4064941039655",Datos!$D$2:$D$94,"2026.M12")</f>
        <v>456</v>
      </c>
      <c r="G48" s="9" t="n">
        <f aca="false">SUMIFS(Datos!$T$2:$T$94,Datos!$B$2:$B$94,"4064941039655",Datos!$D$2:$D$94,"2027.M01")</f>
        <v>0</v>
      </c>
      <c r="H48" s="9" t="n">
        <f aca="false">SUMIFS(Datos!$T$2:$T$94,Datos!$B$2:$B$94,"4064941039655",Datos!$D$2:$D$94,"2027.M02")</f>
        <v>753</v>
      </c>
      <c r="I48" s="9" t="n">
        <f aca="false">SUMIFS(Datos!$T$2:$T$94,Datos!$B$2:$B$94,"4064941039655",Datos!$D$2:$D$94,"2027.M03")</f>
        <v>139</v>
      </c>
      <c r="J48" s="9" t="n">
        <f aca="false">SUMIFS(Datos!$T$2:$T$94,Datos!$B$2:$B$94,"4064941039655",Datos!$D$2:$D$94,"2027.M04")</f>
        <v>143</v>
      </c>
      <c r="K48" s="30" t="n">
        <f aca="false">SUM(C48:J48)</f>
        <v>1885</v>
      </c>
    </row>
    <row r="49" customFormat="false" ht="15" hidden="false" customHeight="false" outlineLevel="0" collapsed="false">
      <c r="A49" s="26" t="s">
        <v>124</v>
      </c>
      <c r="B49" s="8" t="s">
        <v>125</v>
      </c>
      <c r="C49" s="9" t="n">
        <f aca="false">SUMIFS(Datos!$T$2:$T$94,Datos!$B$2:$B$94,"4064941192046",Datos!$D$2:$D$94,"2026.M09")</f>
        <v>960</v>
      </c>
      <c r="D49" s="9" t="n">
        <f aca="false">SUMIFS(Datos!$T$2:$T$94,Datos!$B$2:$B$94,"4064941192046",Datos!$D$2:$D$94,"2026.M10")</f>
        <v>120</v>
      </c>
      <c r="E49" s="9" t="n">
        <f aca="false">SUMIFS(Datos!$T$2:$T$94,Datos!$B$2:$B$94,"4064941192046",Datos!$D$2:$D$94,"2026.M11")</f>
        <v>50</v>
      </c>
      <c r="F49" s="9" t="n">
        <f aca="false">SUMIFS(Datos!$T$2:$T$94,Datos!$B$2:$B$94,"4064941192046",Datos!$D$2:$D$94,"2026.M12")</f>
        <v>3</v>
      </c>
      <c r="G49" s="9" t="n">
        <f aca="false">SUMIFS(Datos!$T$2:$T$94,Datos!$B$2:$B$94,"4064941192046",Datos!$D$2:$D$94,"2027.M01")</f>
        <v>1</v>
      </c>
      <c r="H49" s="9" t="n">
        <f aca="false">SUMIFS(Datos!$T$2:$T$94,Datos!$B$2:$B$94,"4064941192046",Datos!$D$2:$D$94,"2027.M02")</f>
        <v>7265</v>
      </c>
      <c r="I49" s="9" t="n">
        <f aca="false">SUMIFS(Datos!$T$2:$T$94,Datos!$B$2:$B$94,"4064941192046",Datos!$D$2:$D$94,"2027.M03")</f>
        <v>147.000000000033</v>
      </c>
      <c r="J49" s="9" t="n">
        <f aca="false">SUMIFS(Datos!$T$2:$T$94,Datos!$B$2:$B$94,"4064941192046",Datos!$D$2:$D$94,"2027.M04")</f>
        <v>25</v>
      </c>
      <c r="K49" s="30" t="n">
        <f aca="false">SUM(C49:J49)</f>
        <v>8571.00000000003</v>
      </c>
    </row>
    <row r="50" customFormat="false" ht="15" hidden="false" customHeight="false" outlineLevel="0" collapsed="false">
      <c r="A50" s="26" t="s">
        <v>127</v>
      </c>
      <c r="B50" s="8" t="s">
        <v>128</v>
      </c>
      <c r="C50" s="9" t="n">
        <f aca="false">SUMIFS(Datos!$T$2:$T$94,Datos!$B$2:$B$94,"4064941192060",Datos!$D$2:$D$94,"2026.M09")</f>
        <v>0</v>
      </c>
      <c r="D50" s="9" t="n">
        <f aca="false">SUMIFS(Datos!$T$2:$T$94,Datos!$B$2:$B$94,"4064941192060",Datos!$D$2:$D$94,"2026.M10")</f>
        <v>0</v>
      </c>
      <c r="E50" s="9" t="n">
        <f aca="false">SUMIFS(Datos!$T$2:$T$94,Datos!$B$2:$B$94,"4064941192060",Datos!$D$2:$D$94,"2026.M11")</f>
        <v>0</v>
      </c>
      <c r="F50" s="9" t="n">
        <f aca="false">SUMIFS(Datos!$T$2:$T$94,Datos!$B$2:$B$94,"4064941192060",Datos!$D$2:$D$94,"2026.M12")</f>
        <v>0</v>
      </c>
      <c r="G50" s="9" t="n">
        <f aca="false">SUMIFS(Datos!$T$2:$T$94,Datos!$B$2:$B$94,"4064941192060",Datos!$D$2:$D$94,"2027.M01")</f>
        <v>0</v>
      </c>
      <c r="H50" s="9" t="n">
        <f aca="false">SUMIFS(Datos!$T$2:$T$94,Datos!$B$2:$B$94,"4064941192060",Datos!$D$2:$D$94,"2027.M02")</f>
        <v>0</v>
      </c>
      <c r="I50" s="9" t="n">
        <f aca="false">SUMIFS(Datos!$T$2:$T$94,Datos!$B$2:$B$94,"4064941192060",Datos!$D$2:$D$94,"2027.M03")</f>
        <v>0</v>
      </c>
      <c r="J50" s="9" t="n">
        <f aca="false">SUMIFS(Datos!$T$2:$T$94,Datos!$B$2:$B$94,"4064941192060",Datos!$D$2:$D$94,"2027.M04")</f>
        <v>320</v>
      </c>
      <c r="K50" s="30" t="n">
        <f aca="false">SUM(C50:J50)</f>
        <v>320</v>
      </c>
    </row>
    <row r="51" customFormat="false" ht="15" hidden="false" customHeight="false" outlineLevel="0" collapsed="false">
      <c r="A51" s="26" t="s">
        <v>129</v>
      </c>
      <c r="B51" s="8" t="s">
        <v>130</v>
      </c>
      <c r="C51" s="9" t="n">
        <f aca="false">SUMIFS(Datos!$T$2:$T$94,Datos!$B$2:$B$94,"4064941200116",Datos!$D$2:$D$94,"2026.M09")</f>
        <v>0</v>
      </c>
      <c r="D51" s="9" t="n">
        <f aca="false">SUMIFS(Datos!$T$2:$T$94,Datos!$B$2:$B$94,"4064941200116",Datos!$D$2:$D$94,"2026.M10")</f>
        <v>0</v>
      </c>
      <c r="E51" s="9" t="n">
        <f aca="false">SUMIFS(Datos!$T$2:$T$94,Datos!$B$2:$B$94,"4064941200116",Datos!$D$2:$D$94,"2026.M11")</f>
        <v>0</v>
      </c>
      <c r="F51" s="9" t="n">
        <f aca="false">SUMIFS(Datos!$T$2:$T$94,Datos!$B$2:$B$94,"4064941200116",Datos!$D$2:$D$94,"2026.M12")</f>
        <v>0</v>
      </c>
      <c r="G51" s="9" t="n">
        <f aca="false">SUMIFS(Datos!$T$2:$T$94,Datos!$B$2:$B$94,"4064941200116",Datos!$D$2:$D$94,"2027.M01")</f>
        <v>0</v>
      </c>
      <c r="H51" s="9" t="n">
        <f aca="false">SUMIFS(Datos!$T$2:$T$94,Datos!$B$2:$B$94,"4064941200116",Datos!$D$2:$D$94,"2027.M02")</f>
        <v>9563</v>
      </c>
      <c r="I51" s="9" t="n">
        <f aca="false">SUMIFS(Datos!$T$2:$T$94,Datos!$B$2:$B$94,"4064941200116",Datos!$D$2:$D$94,"2027.M03")</f>
        <v>19</v>
      </c>
      <c r="J51" s="9" t="n">
        <f aca="false">SUMIFS(Datos!$T$2:$T$94,Datos!$B$2:$B$94,"4064941200116",Datos!$D$2:$D$94,"2027.M04")</f>
        <v>0</v>
      </c>
      <c r="K51" s="30" t="n">
        <f aca="false">SUM(C51:J51)</f>
        <v>9582</v>
      </c>
    </row>
    <row r="52" customFormat="false" ht="15" hidden="false" customHeight="false" outlineLevel="0" collapsed="false">
      <c r="A52" s="26" t="s">
        <v>131</v>
      </c>
      <c r="B52" s="8" t="s">
        <v>132</v>
      </c>
      <c r="C52" s="9" t="n">
        <f aca="false">SUMIFS(Datos!$T$2:$T$94,Datos!$B$2:$B$94,"4064941039662",Datos!$D$2:$D$94,"2026.M09")</f>
        <v>20</v>
      </c>
      <c r="D52" s="9" t="n">
        <f aca="false">SUMIFS(Datos!$T$2:$T$94,Datos!$B$2:$B$94,"4064941039662",Datos!$D$2:$D$94,"2026.M10")</f>
        <v>5</v>
      </c>
      <c r="E52" s="9" t="n">
        <f aca="false">SUMIFS(Datos!$T$2:$T$94,Datos!$B$2:$B$94,"4064941039662",Datos!$D$2:$D$94,"2026.M11")</f>
        <v>44</v>
      </c>
      <c r="F52" s="9" t="n">
        <f aca="false">SUMIFS(Datos!$T$2:$T$94,Datos!$B$2:$B$94,"4064941039662",Datos!$D$2:$D$94,"2026.M12")</f>
        <v>10</v>
      </c>
      <c r="G52" s="9" t="n">
        <f aca="false">SUMIFS(Datos!$T$2:$T$94,Datos!$B$2:$B$94,"4064941039662",Datos!$D$2:$D$94,"2027.M01")</f>
        <v>7</v>
      </c>
      <c r="H52" s="9" t="n">
        <f aca="false">SUMIFS(Datos!$T$2:$T$94,Datos!$B$2:$B$94,"4064941039662",Datos!$D$2:$D$94,"2027.M02")</f>
        <v>21</v>
      </c>
      <c r="I52" s="9" t="n">
        <f aca="false">SUMIFS(Datos!$T$2:$T$94,Datos!$B$2:$B$94,"4064941039662",Datos!$D$2:$D$94,"2027.M03")</f>
        <v>31</v>
      </c>
      <c r="J52" s="9" t="n">
        <f aca="false">SUMIFS(Datos!$T$2:$T$94,Datos!$B$2:$B$94,"4064941039662",Datos!$D$2:$D$94,"2027.M04")</f>
        <v>1</v>
      </c>
      <c r="K52" s="30" t="n">
        <f aca="false">SUM(C52:J52)</f>
        <v>139</v>
      </c>
    </row>
    <row r="53" customFormat="false" ht="15" hidden="false" customHeight="false" outlineLevel="0" collapsed="false">
      <c r="A53" s="5" t="s">
        <v>101</v>
      </c>
      <c r="B53" s="27"/>
      <c r="C53" s="6" t="n">
        <f aca="false">SUM(C45:C52)</f>
        <v>5552</v>
      </c>
      <c r="D53" s="6" t="n">
        <f aca="false">SUM(D45:D52)</f>
        <v>5835</v>
      </c>
      <c r="E53" s="6" t="n">
        <f aca="false">SUM(E45:E52)</f>
        <v>3197</v>
      </c>
      <c r="F53" s="6" t="n">
        <f aca="false">SUM(F45:F52)</f>
        <v>3799</v>
      </c>
      <c r="G53" s="6" t="n">
        <f aca="false">SUM(G45:G52)</f>
        <v>4289</v>
      </c>
      <c r="H53" s="6" t="n">
        <f aca="false">SUM(H45:H52)</f>
        <v>23589</v>
      </c>
      <c r="I53" s="6" t="n">
        <f aca="false">SUM(I45:I52)</f>
        <v>6879.00000000003</v>
      </c>
      <c r="J53" s="6" t="n">
        <f aca="false">SUM(J45:J52)</f>
        <v>3298</v>
      </c>
      <c r="K53" s="6" t="n">
        <f aca="false">SUM(K45:K52)</f>
        <v>56438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P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64"/>
    <col collapsed="false" customWidth="true" hidden="false" outlineLevel="0" max="6" min="6" style="0" width="13"/>
    <col collapsed="false" customWidth="true" hidden="false" outlineLevel="0" max="7" min="7" style="0" width="58"/>
  </cols>
  <sheetData>
    <row r="1" customFormat="false" ht="21.75" hidden="false" customHeight="tru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30" hidden="false" customHeight="true" outlineLevel="0" collapsed="false">
      <c r="A4" s="4" t="s">
        <v>141</v>
      </c>
      <c r="B4" s="4" t="s">
        <v>142</v>
      </c>
      <c r="C4" s="4" t="s">
        <v>108</v>
      </c>
      <c r="D4" s="4" t="s">
        <v>143</v>
      </c>
      <c r="E4" s="4" t="s">
        <v>144</v>
      </c>
      <c r="F4" s="4" t="s">
        <v>145</v>
      </c>
      <c r="G4" s="4" t="s">
        <v>146</v>
      </c>
    </row>
    <row r="5" customFormat="false" ht="57.75" hidden="false" customHeight="true" outlineLevel="0" collapsed="false">
      <c r="A5" s="31" t="n">
        <v>1</v>
      </c>
      <c r="B5" s="24" t="s">
        <v>147</v>
      </c>
      <c r="C5" s="26" t="s">
        <v>124</v>
      </c>
      <c r="D5" s="8" t="s">
        <v>148</v>
      </c>
      <c r="E5" s="22" t="s">
        <v>149</v>
      </c>
      <c r="F5" s="30" t="n">
        <f aca="false">P5</f>
        <v>4610</v>
      </c>
      <c r="G5" s="22" t="s">
        <v>150</v>
      </c>
      <c r="P5" s="32" t="n">
        <f aca="false">SUMIFS(Datos!$I$2:$I$94,Datos!$B$2:$B$94,"4064941192046",Datos!$F$2:$F$94,1)-SUMIFS(Datos!$H$2:$H$94,Datos!$B$2:$B$94,"4064941192046",Datos!$F$2:$F$94,1)</f>
        <v>4610</v>
      </c>
    </row>
    <row r="6" customFormat="false" ht="57.75" hidden="false" customHeight="true" outlineLevel="0" collapsed="false">
      <c r="A6" s="31" t="n">
        <v>2</v>
      </c>
      <c r="B6" s="24" t="s">
        <v>147</v>
      </c>
      <c r="C6" s="26" t="s">
        <v>115</v>
      </c>
      <c r="D6" s="8" t="s">
        <v>116</v>
      </c>
      <c r="E6" s="22" t="s">
        <v>151</v>
      </c>
      <c r="F6" s="30" t="n">
        <f aca="false">P6</f>
        <v>-2508</v>
      </c>
      <c r="G6" s="22" t="s">
        <v>152</v>
      </c>
      <c r="P6" s="32" t="n">
        <f aca="false">SUMIFS(Datos!$H$2:$H$94,Datos!$B$2:$B$94,"4064941161349",Datos!$F$2:$F$94,1)-SUMIFS(Datos!$O$2:$O$94,Datos!$B$2:$B$94,"4064941161349",Datos!$F$2:$F$94,1)</f>
        <v>-2508</v>
      </c>
    </row>
    <row r="7" customFormat="false" ht="57.75" hidden="false" customHeight="true" outlineLevel="0" collapsed="false">
      <c r="A7" s="31" t="n">
        <v>3</v>
      </c>
      <c r="B7" s="33" t="s">
        <v>153</v>
      </c>
      <c r="C7" s="26" t="s">
        <v>127</v>
      </c>
      <c r="D7" s="8" t="s">
        <v>128</v>
      </c>
      <c r="E7" s="22" t="s">
        <v>154</v>
      </c>
      <c r="F7" s="30" t="n">
        <f aca="false">P7</f>
        <v>-5777</v>
      </c>
      <c r="G7" s="22" t="s">
        <v>155</v>
      </c>
      <c r="P7" s="32" t="n">
        <f aca="false">SUMIFS(Datos!$I$2:$I$94,Datos!$B$2:$B$94,"4064941192060",Datos!$F$2:$F$94,1)-SUMIFS(Datos!$P$2:$P$94,Datos!$B$2:$B$94,"4064941192060",Datos!$F$2:$F$94,1)</f>
        <v>-5777</v>
      </c>
    </row>
    <row r="8" customFormat="false" ht="57.75" hidden="false" customHeight="true" outlineLevel="0" collapsed="false">
      <c r="A8" s="31" t="n">
        <v>4</v>
      </c>
      <c r="B8" s="33" t="s">
        <v>153</v>
      </c>
      <c r="C8" s="26" t="s">
        <v>118</v>
      </c>
      <c r="D8" s="8" t="s">
        <v>119</v>
      </c>
      <c r="E8" s="22" t="s">
        <v>156</v>
      </c>
      <c r="F8" s="30" t="n">
        <f aca="false">P8</f>
        <v>2916</v>
      </c>
      <c r="G8" s="22" t="s">
        <v>157</v>
      </c>
      <c r="P8" s="32" t="n">
        <f aca="false">SUMPRODUCT(ABS('EAN x Mes'!C7:J7))</f>
        <v>2916</v>
      </c>
    </row>
    <row r="9" customFormat="false" ht="57.75" hidden="false" customHeight="true" outlineLevel="0" collapsed="false">
      <c r="A9" s="31" t="n">
        <v>5</v>
      </c>
      <c r="B9" s="33" t="s">
        <v>153</v>
      </c>
      <c r="C9" s="26" t="s">
        <v>129</v>
      </c>
      <c r="D9" s="8" t="s">
        <v>130</v>
      </c>
      <c r="E9" s="22" t="s">
        <v>158</v>
      </c>
      <c r="F9" s="30" t="n">
        <f aca="false">P9</f>
        <v>-1677</v>
      </c>
      <c r="G9" s="22" t="s">
        <v>159</v>
      </c>
      <c r="P9" s="32" t="n">
        <f aca="false">SUMIFS(Datos!$I$2:$I$94,Datos!$B$2:$B$94,"4064941200116",Datos!$F$2:$F$94,1)-SUMIFS(Datos!$P$2:$P$94,Datos!$B$2:$B$94,"4064941200116",Datos!$F$2:$F$94,1)</f>
        <v>-1677</v>
      </c>
    </row>
    <row r="10" customFormat="false" ht="57.75" hidden="false" customHeight="true" outlineLevel="0" collapsed="false">
      <c r="A10" s="31" t="n">
        <v>6</v>
      </c>
      <c r="B10" s="21" t="s">
        <v>160</v>
      </c>
      <c r="C10" s="26" t="s">
        <v>131</v>
      </c>
      <c r="D10" s="8" t="s">
        <v>132</v>
      </c>
      <c r="E10" s="22" t="s">
        <v>161</v>
      </c>
      <c r="F10" s="30" t="n">
        <f aca="false">P10</f>
        <v>-139</v>
      </c>
      <c r="G10" s="22" t="s">
        <v>162</v>
      </c>
      <c r="P10" s="32" t="n">
        <f aca="false">-SUMIFS(Datos!$T$2:$T$94,Datos!$B$2:$B$94,"4064941039662",Datos!$F$2:$F$94,1)</f>
        <v>-139</v>
      </c>
    </row>
    <row r="11" customFormat="false" ht="57.75" hidden="false" customHeight="true" outlineLevel="0" collapsed="false">
      <c r="A11" s="31" t="n">
        <v>7</v>
      </c>
      <c r="B11" s="31" t="s">
        <v>163</v>
      </c>
      <c r="C11" s="26" t="s">
        <v>164</v>
      </c>
      <c r="D11" s="8" t="s">
        <v>165</v>
      </c>
      <c r="E11" s="22" t="s">
        <v>166</v>
      </c>
      <c r="F11" s="30" t="n">
        <f aca="false">P11</f>
        <v>-17756</v>
      </c>
      <c r="G11" s="22" t="s">
        <v>167</v>
      </c>
      <c r="P11" s="32" t="n">
        <f aca="false">SUMIFS(Datos!$H$2:$H$94,Datos!$F$2:$F$94,1)-SUMIFS(Datos!$T$2:$T$94,Datos!$F$2:$F$94,1)</f>
        <v>-17756</v>
      </c>
    </row>
    <row r="12" customFormat="false" ht="57.75" hidden="false" customHeight="true" outlineLevel="0" collapsed="false">
      <c r="A12" s="31" t="n">
        <v>8</v>
      </c>
      <c r="B12" s="31" t="s">
        <v>163</v>
      </c>
      <c r="C12" s="26" t="s">
        <v>164</v>
      </c>
      <c r="D12" s="8" t="s">
        <v>165</v>
      </c>
      <c r="E12" s="22" t="s">
        <v>168</v>
      </c>
      <c r="F12" s="30" t="n">
        <f aca="false">P12</f>
        <v>884</v>
      </c>
      <c r="G12" s="22" t="s">
        <v>169</v>
      </c>
      <c r="P12" s="32" t="n">
        <f aca="false">(SUMIFS(Datos!$H$2:$H$94,Datos!$G$2:$G$94,"Sistema",Datos!$F$2:$F$94,1)-SUMIFS(Datos!$I$2:$I$94,Datos!$G$2:$G$94,"Sistema",Datos!$F$2:$F$94,1)-SUMIFS(Datos!$J$2:$J$94,Datos!$G$2:$G$94,"Sistema",Datos!$F$2:$F$94,1)-SUMIFS(Datos!$K$2:$K$94,Datos!$G$2:$G$94,"Sistema",Datos!$F$2:$F$94,1))-(SUMIFS(Datos!$O$2:$O$94,Datos!$G$2:$G$94,"Sistema",Datos!$F$2:$F$94,1)-SUMIFS(Datos!$P$2:$P$94,Datos!$G$2:$G$94,"Sistema",Datos!$F$2:$F$94,1)-SUMIFS(Datos!$Q$2:$Q$94,Datos!$G$2:$G$94,"Sistema",Datos!$F$2:$F$94,1)-SUMIFS(Datos!$R$2:$R$94,Datos!$G$2:$G$94,"Sistema",Datos!$F$2:$F$94,1))</f>
        <v>884</v>
      </c>
    </row>
    <row r="14" customFormat="false" ht="15" hidden="false" customHeight="false" outlineLevel="0" collapsed="false">
      <c r="A14" s="2" t="s">
        <v>170</v>
      </c>
    </row>
    <row r="15" customFormat="false" ht="15" hidden="false" customHeight="false" outlineLevel="0" collapsed="false">
      <c r="A15" s="2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10"/>
  </cols>
  <sheetData>
    <row r="1" customFormat="false" ht="21.75" hidden="false" customHeight="true" outlineLevel="0" collapsed="false">
      <c r="A1" s="1" t="s">
        <v>172</v>
      </c>
    </row>
    <row r="4" customFormat="false" ht="15" hidden="false" customHeight="false" outlineLevel="0" collapsed="false">
      <c r="B4" s="3" t="s">
        <v>173</v>
      </c>
    </row>
    <row r="5" customFormat="false" ht="25.5" hidden="false" customHeight="true" outlineLevel="0" collapsed="false">
      <c r="B5" s="34" t="s">
        <v>174</v>
      </c>
      <c r="C5" s="22" t="s">
        <v>175</v>
      </c>
    </row>
    <row r="6" customFormat="false" ht="51.75" hidden="false" customHeight="true" outlineLevel="0" collapsed="false">
      <c r="B6" s="35" t="s">
        <v>176</v>
      </c>
      <c r="C6" s="36" t="s">
        <v>177</v>
      </c>
    </row>
    <row r="7" customFormat="false" ht="25.5" hidden="false" customHeight="true" outlineLevel="0" collapsed="false">
      <c r="B7" s="34" t="s">
        <v>178</v>
      </c>
      <c r="C7" s="22" t="s">
        <v>179</v>
      </c>
    </row>
    <row r="9" customFormat="false" ht="15" hidden="false" customHeight="false" outlineLevel="0" collapsed="false">
      <c r="B9" s="3" t="s">
        <v>180</v>
      </c>
    </row>
    <row r="10" customFormat="false" ht="15" hidden="false" customHeight="true" outlineLevel="0" collapsed="false">
      <c r="B10" s="34" t="s">
        <v>181</v>
      </c>
      <c r="C10" s="22" t="s">
        <v>182</v>
      </c>
    </row>
    <row r="11" customFormat="false" ht="15" hidden="false" customHeight="true" outlineLevel="0" collapsed="false">
      <c r="B11" s="34" t="s">
        <v>183</v>
      </c>
      <c r="C11" s="22" t="s">
        <v>184</v>
      </c>
    </row>
    <row r="12" customFormat="false" ht="25.5" hidden="false" customHeight="true" outlineLevel="0" collapsed="false">
      <c r="B12" s="34" t="s">
        <v>4</v>
      </c>
      <c r="C12" s="22" t="s">
        <v>185</v>
      </c>
    </row>
    <row r="13" customFormat="false" ht="25.5" hidden="false" customHeight="true" outlineLevel="0" collapsed="false">
      <c r="B13" s="34" t="s">
        <v>186</v>
      </c>
      <c r="C13" s="22" t="s">
        <v>187</v>
      </c>
    </row>
    <row r="14" customFormat="false" ht="15" hidden="false" customHeight="true" outlineLevel="0" collapsed="false">
      <c r="B14" s="34" t="s">
        <v>19</v>
      </c>
      <c r="C14" s="22" t="s">
        <v>188</v>
      </c>
    </row>
    <row r="15" customFormat="false" ht="39" hidden="false" customHeight="true" outlineLevel="0" collapsed="false">
      <c r="B15" s="34" t="s">
        <v>189</v>
      </c>
      <c r="C15" s="22" t="s">
        <v>190</v>
      </c>
    </row>
    <row r="16" customFormat="false" ht="39" hidden="false" customHeight="true" outlineLevel="0" collapsed="false">
      <c r="B16" s="34" t="s">
        <v>191</v>
      </c>
      <c r="C16" s="22" t="s">
        <v>192</v>
      </c>
    </row>
    <row r="18" customFormat="false" ht="15" hidden="false" customHeight="false" outlineLevel="0" collapsed="false">
      <c r="B18" s="3" t="s">
        <v>193</v>
      </c>
    </row>
    <row r="19" customFormat="false" ht="15" hidden="false" customHeight="true" outlineLevel="0" collapsed="false">
      <c r="B19" s="34" t="s">
        <v>194</v>
      </c>
      <c r="C19" s="22" t="s">
        <v>195</v>
      </c>
    </row>
    <row r="20" customFormat="false" ht="15" hidden="false" customHeight="true" outlineLevel="0" collapsed="false">
      <c r="B20" s="34" t="s">
        <v>196</v>
      </c>
      <c r="C20" s="22" t="s">
        <v>197</v>
      </c>
    </row>
    <row r="21" customFormat="false" ht="39" hidden="false" customHeight="true" outlineLevel="0" collapsed="false">
      <c r="B21" s="34" t="s">
        <v>198</v>
      </c>
      <c r="C21" s="22" t="s">
        <v>199</v>
      </c>
    </row>
    <row r="22" customFormat="false" ht="25.5" hidden="false" customHeight="true" outlineLevel="0" collapsed="false">
      <c r="B22" s="34" t="s">
        <v>200</v>
      </c>
      <c r="C22" s="22" t="s">
        <v>201</v>
      </c>
    </row>
    <row r="23" customFormat="false" ht="25.5" hidden="false" customHeight="true" outlineLevel="0" collapsed="false">
      <c r="B23" s="34" t="s">
        <v>202</v>
      </c>
      <c r="C23" s="22" t="s">
        <v>203</v>
      </c>
    </row>
    <row r="25" customFormat="false" ht="15" hidden="false" customHeight="false" outlineLevel="0" collapsed="false">
      <c r="B25" s="3" t="s">
        <v>204</v>
      </c>
    </row>
    <row r="26" customFormat="false" ht="15" hidden="false" customHeight="true" outlineLevel="0" collapsed="false">
      <c r="B26" s="34" t="s">
        <v>205</v>
      </c>
      <c r="C26" s="22" t="s">
        <v>206</v>
      </c>
    </row>
    <row r="27" customFormat="false" ht="15" hidden="false" customHeight="true" outlineLevel="0" collapsed="false">
      <c r="B27" s="34" t="s">
        <v>207</v>
      </c>
      <c r="C27" s="22" t="s">
        <v>208</v>
      </c>
    </row>
    <row r="28" customFormat="false" ht="25.5" hidden="false" customHeight="true" outlineLevel="0" collapsed="false">
      <c r="B28" s="34" t="s">
        <v>209</v>
      </c>
      <c r="C28" s="22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V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7" min="4" style="0" width="11"/>
    <col collapsed="false" customWidth="true" hidden="false" outlineLevel="0" max="22" min="8" style="0" width="13"/>
  </cols>
  <sheetData>
    <row r="1" customFormat="false" ht="30" hidden="false" customHeight="true" outlineLevel="0" collapsed="false">
      <c r="A1" s="4" t="s">
        <v>93</v>
      </c>
      <c r="B1" s="4" t="s">
        <v>108</v>
      </c>
      <c r="C1" s="4" t="s">
        <v>109</v>
      </c>
      <c r="D1" s="4" t="s">
        <v>63</v>
      </c>
      <c r="E1" s="4" t="s">
        <v>211</v>
      </c>
      <c r="F1" s="4" t="s">
        <v>212</v>
      </c>
      <c r="G1" s="4" t="s">
        <v>189</v>
      </c>
      <c r="H1" s="4" t="s">
        <v>213</v>
      </c>
      <c r="I1" s="4" t="s">
        <v>67</v>
      </c>
      <c r="J1" s="4" t="s">
        <v>214</v>
      </c>
      <c r="K1" s="4" t="s">
        <v>215</v>
      </c>
      <c r="L1" s="4" t="s">
        <v>216</v>
      </c>
      <c r="M1" s="4" t="s">
        <v>217</v>
      </c>
      <c r="N1" s="4" t="s">
        <v>218</v>
      </c>
      <c r="O1" s="4" t="s">
        <v>219</v>
      </c>
      <c r="P1" s="4" t="s">
        <v>68</v>
      </c>
      <c r="Q1" s="4" t="s">
        <v>220</v>
      </c>
      <c r="R1" s="4" t="s">
        <v>221</v>
      </c>
      <c r="S1" s="4" t="s">
        <v>222</v>
      </c>
      <c r="T1" s="4" t="s">
        <v>223</v>
      </c>
      <c r="U1" s="4" t="s">
        <v>224</v>
      </c>
      <c r="V1" s="4" t="s">
        <v>225</v>
      </c>
    </row>
    <row r="2" customFormat="false" ht="15" hidden="false" customHeight="false" outlineLevel="0" collapsed="false">
      <c r="A2" s="8" t="s">
        <v>98</v>
      </c>
      <c r="B2" s="8" t="s">
        <v>122</v>
      </c>
      <c r="C2" s="8" t="s">
        <v>123</v>
      </c>
      <c r="D2" s="8" t="s">
        <v>85</v>
      </c>
      <c r="E2" s="8" t="s">
        <v>86</v>
      </c>
      <c r="F2" s="8" t="n">
        <v>0</v>
      </c>
      <c r="G2" s="8" t="s">
        <v>117</v>
      </c>
      <c r="H2" s="9" t="n">
        <v>239</v>
      </c>
      <c r="I2" s="9" t="n">
        <v>239</v>
      </c>
      <c r="J2" s="9" t="n">
        <v>0</v>
      </c>
      <c r="K2" s="9" t="n">
        <v>0</v>
      </c>
      <c r="L2" s="9" t="n">
        <v>0</v>
      </c>
      <c r="M2" s="9" t="n">
        <v>168</v>
      </c>
      <c r="N2" s="9" t="n">
        <v>0</v>
      </c>
      <c r="O2" s="9" t="n">
        <v>239</v>
      </c>
      <c r="P2" s="9" t="n">
        <v>239</v>
      </c>
      <c r="Q2" s="9" t="n">
        <v>0</v>
      </c>
      <c r="R2" s="9" t="n">
        <v>0</v>
      </c>
      <c r="S2" s="9" t="n">
        <v>0</v>
      </c>
      <c r="T2" s="9" t="n">
        <v>279</v>
      </c>
      <c r="U2" s="9" t="n">
        <f aca="false">H2-O2</f>
        <v>0</v>
      </c>
      <c r="V2" s="9" t="n">
        <f aca="false">H2-T2</f>
        <v>-40</v>
      </c>
    </row>
    <row r="3" customFormat="false" ht="15" hidden="false" customHeight="false" outlineLevel="0" collapsed="false">
      <c r="A3" s="8" t="s">
        <v>98</v>
      </c>
      <c r="B3" s="8" t="s">
        <v>122</v>
      </c>
      <c r="C3" s="8" t="s">
        <v>123</v>
      </c>
      <c r="D3" s="8" t="s">
        <v>87</v>
      </c>
      <c r="E3" s="8" t="s">
        <v>72</v>
      </c>
      <c r="F3" s="8" t="n">
        <v>0</v>
      </c>
      <c r="G3" s="8" t="s">
        <v>117</v>
      </c>
      <c r="H3" s="9" t="n">
        <v>122</v>
      </c>
      <c r="I3" s="9" t="n">
        <v>122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154</v>
      </c>
      <c r="P3" s="9" t="n">
        <v>113</v>
      </c>
      <c r="Q3" s="9" t="n">
        <v>0</v>
      </c>
      <c r="R3" s="9" t="n">
        <v>0</v>
      </c>
      <c r="S3" s="9" t="n">
        <v>0</v>
      </c>
      <c r="T3" s="9" t="n">
        <v>533</v>
      </c>
      <c r="U3" s="9" t="n">
        <f aca="false">H3-O3</f>
        <v>-32</v>
      </c>
      <c r="V3" s="9" t="n">
        <f aca="false">H3-T3</f>
        <v>-411</v>
      </c>
    </row>
    <row r="4" customFormat="false" ht="15" hidden="false" customHeight="false" outlineLevel="0" collapsed="false">
      <c r="A4" s="8" t="s">
        <v>98</v>
      </c>
      <c r="B4" s="8" t="s">
        <v>122</v>
      </c>
      <c r="C4" s="8" t="s">
        <v>123</v>
      </c>
      <c r="D4" s="8" t="s">
        <v>71</v>
      </c>
      <c r="E4" s="8" t="s">
        <v>72</v>
      </c>
      <c r="F4" s="8" t="n">
        <v>1</v>
      </c>
      <c r="G4" s="8" t="s">
        <v>117</v>
      </c>
      <c r="H4" s="9" t="n">
        <v>193</v>
      </c>
      <c r="I4" s="9" t="n">
        <v>181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116</v>
      </c>
      <c r="P4" s="9" t="n">
        <v>116</v>
      </c>
      <c r="Q4" s="9" t="n">
        <v>0</v>
      </c>
      <c r="R4" s="9" t="n">
        <v>0</v>
      </c>
      <c r="S4" s="9" t="n">
        <v>0</v>
      </c>
      <c r="T4" s="9" t="n">
        <v>336</v>
      </c>
      <c r="U4" s="9" t="n">
        <f aca="false">H4-O4</f>
        <v>77</v>
      </c>
      <c r="V4" s="9" t="n">
        <f aca="false">H4-T4</f>
        <v>-143</v>
      </c>
    </row>
    <row r="5" customFormat="false" ht="15" hidden="false" customHeight="false" outlineLevel="0" collapsed="false">
      <c r="A5" s="8" t="s">
        <v>98</v>
      </c>
      <c r="B5" s="8" t="s">
        <v>122</v>
      </c>
      <c r="C5" s="8" t="s">
        <v>123</v>
      </c>
      <c r="D5" s="8" t="s">
        <v>73</v>
      </c>
      <c r="E5" s="8" t="s">
        <v>74</v>
      </c>
      <c r="F5" s="8" t="n">
        <v>1</v>
      </c>
      <c r="G5" s="8" t="s">
        <v>117</v>
      </c>
      <c r="H5" s="9" t="n">
        <v>88</v>
      </c>
      <c r="I5" s="9" t="n">
        <v>88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116</v>
      </c>
      <c r="P5" s="9" t="n">
        <v>116</v>
      </c>
      <c r="Q5" s="9" t="n">
        <v>0</v>
      </c>
      <c r="R5" s="9" t="n">
        <v>0</v>
      </c>
      <c r="S5" s="9" t="n">
        <v>0</v>
      </c>
      <c r="T5" s="9" t="n">
        <v>11</v>
      </c>
      <c r="U5" s="9" t="n">
        <f aca="false">H5-O5</f>
        <v>-28</v>
      </c>
      <c r="V5" s="9" t="n">
        <f aca="false">H5-T5</f>
        <v>77</v>
      </c>
    </row>
    <row r="6" customFormat="false" ht="15" hidden="false" customHeight="false" outlineLevel="0" collapsed="false">
      <c r="A6" s="8" t="s">
        <v>98</v>
      </c>
      <c r="B6" s="8" t="s">
        <v>122</v>
      </c>
      <c r="C6" s="8" t="s">
        <v>123</v>
      </c>
      <c r="D6" s="8" t="s">
        <v>75</v>
      </c>
      <c r="E6" s="8" t="s">
        <v>74</v>
      </c>
      <c r="F6" s="8" t="n">
        <v>1</v>
      </c>
      <c r="G6" s="8" t="s">
        <v>117</v>
      </c>
      <c r="H6" s="9" t="n">
        <v>116</v>
      </c>
      <c r="I6" s="9" t="n">
        <v>116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112</v>
      </c>
      <c r="P6" s="9" t="n">
        <v>112</v>
      </c>
      <c r="Q6" s="9" t="n">
        <v>0</v>
      </c>
      <c r="R6" s="9" t="n">
        <v>0</v>
      </c>
      <c r="S6" s="9" t="n">
        <v>0</v>
      </c>
      <c r="T6" s="9" t="n">
        <v>47</v>
      </c>
      <c r="U6" s="9" t="n">
        <f aca="false">H6-O6</f>
        <v>4</v>
      </c>
      <c r="V6" s="9" t="n">
        <f aca="false">H6-T6</f>
        <v>69</v>
      </c>
    </row>
    <row r="7" customFormat="false" ht="15" hidden="false" customHeight="false" outlineLevel="0" collapsed="false">
      <c r="A7" s="8" t="s">
        <v>98</v>
      </c>
      <c r="B7" s="8" t="s">
        <v>122</v>
      </c>
      <c r="C7" s="8" t="s">
        <v>123</v>
      </c>
      <c r="D7" s="8" t="s">
        <v>76</v>
      </c>
      <c r="E7" s="8" t="s">
        <v>74</v>
      </c>
      <c r="F7" s="8" t="n">
        <v>1</v>
      </c>
      <c r="G7" s="8" t="s">
        <v>117</v>
      </c>
      <c r="H7" s="9" t="n">
        <v>138</v>
      </c>
      <c r="I7" s="9" t="n">
        <v>138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120</v>
      </c>
      <c r="P7" s="9" t="n">
        <v>120</v>
      </c>
      <c r="Q7" s="9" t="n">
        <v>0</v>
      </c>
      <c r="R7" s="9" t="n">
        <v>0</v>
      </c>
      <c r="S7" s="9" t="n">
        <v>0</v>
      </c>
      <c r="T7" s="9" t="n">
        <v>456</v>
      </c>
      <c r="U7" s="9" t="n">
        <f aca="false">H7-O7</f>
        <v>18</v>
      </c>
      <c r="V7" s="9" t="n">
        <f aca="false">H7-T7</f>
        <v>-318</v>
      </c>
    </row>
    <row r="8" customFormat="false" ht="15" hidden="false" customHeight="false" outlineLevel="0" collapsed="false">
      <c r="A8" s="8" t="s">
        <v>98</v>
      </c>
      <c r="B8" s="8" t="s">
        <v>122</v>
      </c>
      <c r="C8" s="8" t="s">
        <v>123</v>
      </c>
      <c r="D8" s="8" t="s">
        <v>77</v>
      </c>
      <c r="E8" s="8" t="s">
        <v>78</v>
      </c>
      <c r="F8" s="8" t="n">
        <v>1</v>
      </c>
      <c r="G8" s="8" t="s">
        <v>117</v>
      </c>
      <c r="H8" s="9" t="n">
        <v>102</v>
      </c>
      <c r="I8" s="9" t="n">
        <v>102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107</v>
      </c>
      <c r="P8" s="9" t="n">
        <v>107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f aca="false">H8-O8</f>
        <v>-5</v>
      </c>
      <c r="V8" s="9" t="n">
        <f aca="false">H8-T8</f>
        <v>102</v>
      </c>
    </row>
    <row r="9" customFormat="false" ht="15" hidden="false" customHeight="false" outlineLevel="0" collapsed="false">
      <c r="A9" s="8" t="s">
        <v>98</v>
      </c>
      <c r="B9" s="8" t="s">
        <v>122</v>
      </c>
      <c r="C9" s="8" t="s">
        <v>123</v>
      </c>
      <c r="D9" s="8" t="s">
        <v>79</v>
      </c>
      <c r="E9" s="8" t="s">
        <v>78</v>
      </c>
      <c r="F9" s="8" t="n">
        <v>1</v>
      </c>
      <c r="G9" s="8" t="s">
        <v>117</v>
      </c>
      <c r="H9" s="9" t="n">
        <v>140</v>
      </c>
      <c r="I9" s="9" t="n">
        <v>140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128</v>
      </c>
      <c r="P9" s="9" t="n">
        <v>128</v>
      </c>
      <c r="Q9" s="9" t="n">
        <v>0</v>
      </c>
      <c r="R9" s="9" t="n">
        <v>0</v>
      </c>
      <c r="S9" s="9" t="n">
        <v>0</v>
      </c>
      <c r="T9" s="9" t="n">
        <v>753</v>
      </c>
      <c r="U9" s="9" t="n">
        <f aca="false">H9-O9</f>
        <v>12</v>
      </c>
      <c r="V9" s="9" t="n">
        <f aca="false">H9-T9</f>
        <v>-613</v>
      </c>
    </row>
    <row r="10" customFormat="false" ht="15" hidden="false" customHeight="false" outlineLevel="0" collapsed="false">
      <c r="A10" s="8" t="s">
        <v>98</v>
      </c>
      <c r="B10" s="8" t="s">
        <v>122</v>
      </c>
      <c r="C10" s="8" t="s">
        <v>123</v>
      </c>
      <c r="D10" s="8" t="s">
        <v>80</v>
      </c>
      <c r="E10" s="8" t="s">
        <v>78</v>
      </c>
      <c r="F10" s="8" t="n">
        <v>1</v>
      </c>
      <c r="G10" s="8" t="s">
        <v>117</v>
      </c>
      <c r="H10" s="9" t="n">
        <v>137</v>
      </c>
      <c r="I10" s="9" t="n">
        <v>137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129</v>
      </c>
      <c r="P10" s="9" t="n">
        <v>129</v>
      </c>
      <c r="Q10" s="9" t="n">
        <v>0</v>
      </c>
      <c r="R10" s="9" t="n">
        <v>0</v>
      </c>
      <c r="S10" s="9" t="n">
        <v>0</v>
      </c>
      <c r="T10" s="9" t="n">
        <v>139</v>
      </c>
      <c r="U10" s="9" t="n">
        <f aca="false">H10-O10</f>
        <v>8</v>
      </c>
      <c r="V10" s="9" t="n">
        <f aca="false">H10-T10</f>
        <v>-2</v>
      </c>
    </row>
    <row r="11" customFormat="false" ht="15" hidden="false" customHeight="false" outlineLevel="0" collapsed="false">
      <c r="A11" s="8" t="s">
        <v>98</v>
      </c>
      <c r="B11" s="8" t="s">
        <v>122</v>
      </c>
      <c r="C11" s="8" t="s">
        <v>123</v>
      </c>
      <c r="D11" s="8" t="s">
        <v>81</v>
      </c>
      <c r="E11" s="8" t="s">
        <v>82</v>
      </c>
      <c r="F11" s="8" t="n">
        <v>1</v>
      </c>
      <c r="G11" s="8" t="s">
        <v>117</v>
      </c>
      <c r="H11" s="9" t="n">
        <v>60</v>
      </c>
      <c r="I11" s="9" t="n">
        <v>60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107</v>
      </c>
      <c r="P11" s="9" t="n">
        <v>107</v>
      </c>
      <c r="Q11" s="9" t="n">
        <v>0</v>
      </c>
      <c r="R11" s="9" t="n">
        <v>0</v>
      </c>
      <c r="S11" s="9" t="n">
        <v>0</v>
      </c>
      <c r="T11" s="9" t="n">
        <v>143</v>
      </c>
      <c r="U11" s="9" t="n">
        <f aca="false">H11-O11</f>
        <v>-47</v>
      </c>
      <c r="V11" s="9" t="n">
        <f aca="false">H11-T11</f>
        <v>-83</v>
      </c>
    </row>
    <row r="12" customFormat="false" ht="15" hidden="false" customHeight="false" outlineLevel="0" collapsed="false">
      <c r="A12" s="8" t="s">
        <v>98</v>
      </c>
      <c r="B12" s="8" t="s">
        <v>122</v>
      </c>
      <c r="C12" s="8" t="s">
        <v>123</v>
      </c>
      <c r="D12" s="8" t="s">
        <v>88</v>
      </c>
      <c r="E12" s="8" t="s">
        <v>82</v>
      </c>
      <c r="F12" s="8" t="n">
        <v>0</v>
      </c>
      <c r="G12" s="8" t="s">
        <v>117</v>
      </c>
      <c r="H12" s="9" t="n">
        <v>115</v>
      </c>
      <c r="I12" s="9" t="n">
        <v>115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138</v>
      </c>
      <c r="P12" s="9" t="n">
        <v>138</v>
      </c>
      <c r="Q12" s="9" t="n">
        <v>0</v>
      </c>
      <c r="R12" s="9" t="n">
        <v>0</v>
      </c>
      <c r="S12" s="9" t="n">
        <v>0</v>
      </c>
      <c r="T12" s="9" t="n">
        <v>43</v>
      </c>
      <c r="U12" s="9" t="n">
        <f aca="false">H12-O12</f>
        <v>-23</v>
      </c>
      <c r="V12" s="9" t="n">
        <f aca="false">H12-T12</f>
        <v>72</v>
      </c>
    </row>
    <row r="13" customFormat="false" ht="15" hidden="false" customHeight="false" outlineLevel="0" collapsed="false">
      <c r="A13" s="8" t="s">
        <v>98</v>
      </c>
      <c r="B13" s="8" t="s">
        <v>122</v>
      </c>
      <c r="C13" s="8" t="s">
        <v>123</v>
      </c>
      <c r="D13" s="8" t="s">
        <v>89</v>
      </c>
      <c r="E13" s="8" t="s">
        <v>82</v>
      </c>
      <c r="F13" s="8" t="n">
        <v>0</v>
      </c>
      <c r="G13" s="8" t="s">
        <v>117</v>
      </c>
      <c r="H13" s="9" t="n">
        <v>163</v>
      </c>
      <c r="I13" s="9" t="n">
        <v>163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142</v>
      </c>
      <c r="P13" s="9" t="n">
        <v>142</v>
      </c>
      <c r="Q13" s="9" t="n">
        <v>0</v>
      </c>
      <c r="R13" s="9" t="n">
        <v>0</v>
      </c>
      <c r="S13" s="9" t="n">
        <v>0</v>
      </c>
      <c r="T13" s="9" t="n">
        <v>63</v>
      </c>
      <c r="U13" s="9" t="n">
        <f aca="false">H13-O13</f>
        <v>21</v>
      </c>
      <c r="V13" s="9" t="n">
        <f aca="false">H13-T13</f>
        <v>100</v>
      </c>
    </row>
    <row r="14" customFormat="false" ht="15" hidden="false" customHeight="false" outlineLevel="0" collapsed="false">
      <c r="A14" s="8" t="s">
        <v>98</v>
      </c>
      <c r="B14" s="8" t="s">
        <v>118</v>
      </c>
      <c r="C14" s="8" t="s">
        <v>119</v>
      </c>
      <c r="D14" s="8" t="s">
        <v>85</v>
      </c>
      <c r="E14" s="8" t="s">
        <v>86</v>
      </c>
      <c r="F14" s="8" t="n">
        <v>0</v>
      </c>
      <c r="G14" s="8" t="s">
        <v>117</v>
      </c>
      <c r="H14" s="9" t="n">
        <v>349</v>
      </c>
      <c r="I14" s="9" t="n">
        <v>349</v>
      </c>
      <c r="J14" s="9" t="n">
        <v>0</v>
      </c>
      <c r="K14" s="9" t="n">
        <v>0</v>
      </c>
      <c r="L14" s="9" t="n">
        <v>0</v>
      </c>
      <c r="M14" s="9" t="n">
        <v>315</v>
      </c>
      <c r="N14" s="9" t="n">
        <v>0</v>
      </c>
      <c r="O14" s="9" t="n">
        <v>349</v>
      </c>
      <c r="P14" s="9" t="n">
        <v>349</v>
      </c>
      <c r="Q14" s="9" t="n">
        <v>0</v>
      </c>
      <c r="R14" s="9" t="n">
        <v>0</v>
      </c>
      <c r="S14" s="9" t="n">
        <v>0</v>
      </c>
      <c r="T14" s="9" t="n">
        <v>742</v>
      </c>
      <c r="U14" s="9" t="n">
        <f aca="false">H14-O14</f>
        <v>0</v>
      </c>
      <c r="V14" s="9" t="n">
        <f aca="false">H14-T14</f>
        <v>-393</v>
      </c>
    </row>
    <row r="15" customFormat="false" ht="15" hidden="false" customHeight="false" outlineLevel="0" collapsed="false">
      <c r="A15" s="8" t="s">
        <v>98</v>
      </c>
      <c r="B15" s="8" t="s">
        <v>118</v>
      </c>
      <c r="C15" s="8" t="s">
        <v>119</v>
      </c>
      <c r="D15" s="8" t="s">
        <v>87</v>
      </c>
      <c r="E15" s="8" t="s">
        <v>72</v>
      </c>
      <c r="F15" s="8" t="n">
        <v>0</v>
      </c>
      <c r="G15" s="8" t="s">
        <v>117</v>
      </c>
      <c r="H15" s="9" t="n">
        <v>490</v>
      </c>
      <c r="I15" s="9" t="n">
        <v>490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619</v>
      </c>
      <c r="P15" s="9" t="n">
        <v>688</v>
      </c>
      <c r="Q15" s="9" t="n">
        <v>0</v>
      </c>
      <c r="R15" s="9" t="n">
        <v>0</v>
      </c>
      <c r="S15" s="9" t="n">
        <v>0</v>
      </c>
      <c r="T15" s="9" t="n">
        <v>341</v>
      </c>
      <c r="U15" s="9" t="n">
        <f aca="false">H15-O15</f>
        <v>-129</v>
      </c>
      <c r="V15" s="9" t="n">
        <f aca="false">H15-T15</f>
        <v>149</v>
      </c>
    </row>
    <row r="16" customFormat="false" ht="15" hidden="false" customHeight="false" outlineLevel="0" collapsed="false">
      <c r="A16" s="8" t="s">
        <v>98</v>
      </c>
      <c r="B16" s="8" t="s">
        <v>118</v>
      </c>
      <c r="C16" s="8" t="s">
        <v>119</v>
      </c>
      <c r="D16" s="8" t="s">
        <v>71</v>
      </c>
      <c r="E16" s="8" t="s">
        <v>72</v>
      </c>
      <c r="F16" s="8" t="n">
        <v>1</v>
      </c>
      <c r="G16" s="8" t="s">
        <v>117</v>
      </c>
      <c r="H16" s="9" t="n">
        <v>997</v>
      </c>
      <c r="I16" s="9" t="n">
        <v>925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453</v>
      </c>
      <c r="P16" s="9" t="n">
        <v>453</v>
      </c>
      <c r="Q16" s="9" t="n">
        <v>0</v>
      </c>
      <c r="R16" s="9" t="n">
        <v>0</v>
      </c>
      <c r="S16" s="9" t="n">
        <v>0</v>
      </c>
      <c r="T16" s="9" t="n">
        <v>672</v>
      </c>
      <c r="U16" s="9" t="n">
        <f aca="false">H16-O16</f>
        <v>544</v>
      </c>
      <c r="V16" s="9" t="n">
        <f aca="false">H16-T16</f>
        <v>325</v>
      </c>
    </row>
    <row r="17" customFormat="false" ht="15" hidden="false" customHeight="false" outlineLevel="0" collapsed="false">
      <c r="A17" s="8" t="s">
        <v>98</v>
      </c>
      <c r="B17" s="8" t="s">
        <v>118</v>
      </c>
      <c r="C17" s="8" t="s">
        <v>119</v>
      </c>
      <c r="D17" s="8" t="s">
        <v>73</v>
      </c>
      <c r="E17" s="8" t="s">
        <v>74</v>
      </c>
      <c r="F17" s="8" t="n">
        <v>1</v>
      </c>
      <c r="G17" s="8" t="s">
        <v>117</v>
      </c>
      <c r="H17" s="9" t="n">
        <v>563</v>
      </c>
      <c r="I17" s="9" t="n">
        <v>563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840</v>
      </c>
      <c r="P17" s="9" t="n">
        <v>840</v>
      </c>
      <c r="Q17" s="9" t="n">
        <v>0</v>
      </c>
      <c r="R17" s="9" t="n">
        <v>0</v>
      </c>
      <c r="S17" s="9" t="n">
        <v>0</v>
      </c>
      <c r="T17" s="9" t="n">
        <v>741</v>
      </c>
      <c r="U17" s="9" t="n">
        <f aca="false">H17-O17</f>
        <v>-277</v>
      </c>
      <c r="V17" s="9" t="n">
        <f aca="false">H17-T17</f>
        <v>-178</v>
      </c>
    </row>
    <row r="18" customFormat="false" ht="15" hidden="false" customHeight="false" outlineLevel="0" collapsed="false">
      <c r="A18" s="8" t="s">
        <v>98</v>
      </c>
      <c r="B18" s="8" t="s">
        <v>118</v>
      </c>
      <c r="C18" s="8" t="s">
        <v>119</v>
      </c>
      <c r="D18" s="8" t="s">
        <v>75</v>
      </c>
      <c r="E18" s="8" t="s">
        <v>74</v>
      </c>
      <c r="F18" s="8" t="n">
        <v>1</v>
      </c>
      <c r="G18" s="8" t="s">
        <v>117</v>
      </c>
      <c r="H18" s="9" t="n">
        <v>710</v>
      </c>
      <c r="I18" s="9" t="n">
        <v>710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437</v>
      </c>
      <c r="P18" s="9" t="n">
        <v>437</v>
      </c>
      <c r="Q18" s="9" t="n">
        <v>0</v>
      </c>
      <c r="R18" s="9" t="n">
        <v>0</v>
      </c>
      <c r="S18" s="9" t="n">
        <v>0</v>
      </c>
      <c r="T18" s="9" t="n">
        <v>388</v>
      </c>
      <c r="U18" s="9" t="n">
        <f aca="false">H18-O18</f>
        <v>273</v>
      </c>
      <c r="V18" s="9" t="n">
        <f aca="false">H18-T18</f>
        <v>322</v>
      </c>
    </row>
    <row r="19" customFormat="false" ht="15" hidden="false" customHeight="false" outlineLevel="0" collapsed="false">
      <c r="A19" s="8" t="s">
        <v>98</v>
      </c>
      <c r="B19" s="8" t="s">
        <v>118</v>
      </c>
      <c r="C19" s="8" t="s">
        <v>119</v>
      </c>
      <c r="D19" s="8" t="s">
        <v>76</v>
      </c>
      <c r="E19" s="8" t="s">
        <v>74</v>
      </c>
      <c r="F19" s="8" t="n">
        <v>1</v>
      </c>
      <c r="G19" s="8" t="s">
        <v>117</v>
      </c>
      <c r="H19" s="9" t="n">
        <v>844</v>
      </c>
      <c r="I19" s="9" t="n">
        <v>844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302</v>
      </c>
      <c r="P19" s="9" t="n">
        <v>302</v>
      </c>
      <c r="Q19" s="9" t="n">
        <v>0</v>
      </c>
      <c r="R19" s="9" t="n">
        <v>0</v>
      </c>
      <c r="S19" s="9" t="n">
        <v>0</v>
      </c>
      <c r="T19" s="9" t="n">
        <v>429</v>
      </c>
      <c r="U19" s="9" t="n">
        <f aca="false">H19-O19</f>
        <v>542</v>
      </c>
      <c r="V19" s="9" t="n">
        <f aca="false">H19-T19</f>
        <v>415</v>
      </c>
    </row>
    <row r="20" customFormat="false" ht="15" hidden="false" customHeight="false" outlineLevel="0" collapsed="false">
      <c r="A20" s="8" t="s">
        <v>98</v>
      </c>
      <c r="B20" s="8" t="s">
        <v>118</v>
      </c>
      <c r="C20" s="8" t="s">
        <v>119</v>
      </c>
      <c r="D20" s="8" t="s">
        <v>77</v>
      </c>
      <c r="E20" s="8" t="s">
        <v>78</v>
      </c>
      <c r="F20" s="8" t="n">
        <v>1</v>
      </c>
      <c r="G20" s="8" t="s">
        <v>117</v>
      </c>
      <c r="H20" s="9" t="n">
        <v>633</v>
      </c>
      <c r="I20" s="9" t="n">
        <v>633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454</v>
      </c>
      <c r="P20" s="9" t="n">
        <v>454</v>
      </c>
      <c r="Q20" s="9" t="n">
        <v>0</v>
      </c>
      <c r="R20" s="9" t="n">
        <v>0</v>
      </c>
      <c r="S20" s="9" t="n">
        <v>0</v>
      </c>
      <c r="T20" s="9" t="n">
        <v>714</v>
      </c>
      <c r="U20" s="9" t="n">
        <f aca="false">H20-O20</f>
        <v>179</v>
      </c>
      <c r="V20" s="9" t="n">
        <f aca="false">H20-T20</f>
        <v>-81</v>
      </c>
    </row>
    <row r="21" customFormat="false" ht="15" hidden="false" customHeight="false" outlineLevel="0" collapsed="false">
      <c r="A21" s="8" t="s">
        <v>98</v>
      </c>
      <c r="B21" s="8" t="s">
        <v>118</v>
      </c>
      <c r="C21" s="8" t="s">
        <v>119</v>
      </c>
      <c r="D21" s="8" t="s">
        <v>79</v>
      </c>
      <c r="E21" s="8" t="s">
        <v>78</v>
      </c>
      <c r="F21" s="8" t="n">
        <v>1</v>
      </c>
      <c r="G21" s="8" t="s">
        <v>117</v>
      </c>
      <c r="H21" s="9" t="n">
        <v>880</v>
      </c>
      <c r="I21" s="9" t="n">
        <v>880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1887</v>
      </c>
      <c r="P21" s="9" t="n">
        <v>1887</v>
      </c>
      <c r="Q21" s="9" t="n">
        <v>0</v>
      </c>
      <c r="R21" s="9" t="n">
        <v>0</v>
      </c>
      <c r="S21" s="9" t="n">
        <v>0</v>
      </c>
      <c r="T21" s="9" t="n">
        <v>2665</v>
      </c>
      <c r="U21" s="9" t="n">
        <f aca="false">H21-O21</f>
        <v>-1007</v>
      </c>
      <c r="V21" s="9" t="n">
        <f aca="false">H21-T21</f>
        <v>-1785</v>
      </c>
    </row>
    <row r="22" customFormat="false" ht="15" hidden="false" customHeight="false" outlineLevel="0" collapsed="false">
      <c r="A22" s="8" t="s">
        <v>98</v>
      </c>
      <c r="B22" s="8" t="s">
        <v>118</v>
      </c>
      <c r="C22" s="8" t="s">
        <v>119</v>
      </c>
      <c r="D22" s="8" t="s">
        <v>80</v>
      </c>
      <c r="E22" s="8" t="s">
        <v>78</v>
      </c>
      <c r="F22" s="8" t="n">
        <v>1</v>
      </c>
      <c r="G22" s="8" t="s">
        <v>117</v>
      </c>
      <c r="H22" s="9" t="n">
        <v>824</v>
      </c>
      <c r="I22" s="9" t="n">
        <v>824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827</v>
      </c>
      <c r="P22" s="9" t="n">
        <v>827</v>
      </c>
      <c r="Q22" s="9" t="n">
        <v>0</v>
      </c>
      <c r="R22" s="9" t="n">
        <v>0</v>
      </c>
      <c r="S22" s="9" t="n">
        <v>0</v>
      </c>
      <c r="T22" s="9" t="n">
        <v>1419</v>
      </c>
      <c r="U22" s="9" t="n">
        <f aca="false">H22-O22</f>
        <v>-3</v>
      </c>
      <c r="V22" s="9" t="n">
        <f aca="false">H22-T22</f>
        <v>-595</v>
      </c>
    </row>
    <row r="23" customFormat="false" ht="15" hidden="false" customHeight="false" outlineLevel="0" collapsed="false">
      <c r="A23" s="8" t="s">
        <v>98</v>
      </c>
      <c r="B23" s="8" t="s">
        <v>118</v>
      </c>
      <c r="C23" s="8" t="s">
        <v>119</v>
      </c>
      <c r="D23" s="8" t="s">
        <v>81</v>
      </c>
      <c r="E23" s="8" t="s">
        <v>82</v>
      </c>
      <c r="F23" s="8" t="n">
        <v>1</v>
      </c>
      <c r="G23" s="8" t="s">
        <v>117</v>
      </c>
      <c r="H23" s="9" t="n">
        <v>418</v>
      </c>
      <c r="I23" s="9" t="n">
        <v>418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327</v>
      </c>
      <c r="P23" s="9" t="n">
        <v>327</v>
      </c>
      <c r="Q23" s="9" t="n">
        <v>0</v>
      </c>
      <c r="R23" s="9" t="n">
        <v>0</v>
      </c>
      <c r="S23" s="9" t="n">
        <v>0</v>
      </c>
      <c r="T23" s="9" t="n">
        <v>296</v>
      </c>
      <c r="U23" s="9" t="n">
        <f aca="false">H23-O23</f>
        <v>91</v>
      </c>
      <c r="V23" s="9" t="n">
        <f aca="false">H23-T23</f>
        <v>122</v>
      </c>
    </row>
    <row r="24" customFormat="false" ht="15" hidden="false" customHeight="false" outlineLevel="0" collapsed="false">
      <c r="A24" s="8" t="s">
        <v>98</v>
      </c>
      <c r="B24" s="8" t="s">
        <v>118</v>
      </c>
      <c r="C24" s="8" t="s">
        <v>119</v>
      </c>
      <c r="D24" s="8" t="s">
        <v>88</v>
      </c>
      <c r="E24" s="8" t="s">
        <v>82</v>
      </c>
      <c r="F24" s="8" t="n">
        <v>0</v>
      </c>
      <c r="G24" s="8" t="s">
        <v>117</v>
      </c>
      <c r="H24" s="9" t="n">
        <v>739</v>
      </c>
      <c r="I24" s="9" t="n">
        <v>739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829</v>
      </c>
      <c r="P24" s="9" t="n">
        <v>829</v>
      </c>
      <c r="Q24" s="9" t="n">
        <v>0</v>
      </c>
      <c r="R24" s="9" t="n">
        <v>0</v>
      </c>
      <c r="S24" s="9" t="n">
        <v>0</v>
      </c>
      <c r="T24" s="9" t="n">
        <v>970</v>
      </c>
      <c r="U24" s="9" t="n">
        <f aca="false">H24-O24</f>
        <v>-90</v>
      </c>
      <c r="V24" s="9" t="n">
        <f aca="false">H24-T24</f>
        <v>-231</v>
      </c>
    </row>
    <row r="25" customFormat="false" ht="15" hidden="false" customHeight="false" outlineLevel="0" collapsed="false">
      <c r="A25" s="8" t="s">
        <v>98</v>
      </c>
      <c r="B25" s="8" t="s">
        <v>118</v>
      </c>
      <c r="C25" s="8" t="s">
        <v>119</v>
      </c>
      <c r="D25" s="8" t="s">
        <v>89</v>
      </c>
      <c r="E25" s="8" t="s">
        <v>82</v>
      </c>
      <c r="F25" s="8" t="n">
        <v>0</v>
      </c>
      <c r="G25" s="8" t="s">
        <v>117</v>
      </c>
      <c r="H25" s="9" t="n">
        <v>981</v>
      </c>
      <c r="I25" s="9" t="n">
        <v>981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848</v>
      </c>
      <c r="P25" s="9" t="n">
        <v>848</v>
      </c>
      <c r="Q25" s="9" t="n">
        <v>0</v>
      </c>
      <c r="R25" s="9" t="n">
        <v>0</v>
      </c>
      <c r="S25" s="9" t="n">
        <v>0</v>
      </c>
      <c r="T25" s="9" t="n">
        <v>416</v>
      </c>
      <c r="U25" s="9" t="n">
        <f aca="false">H25-O25</f>
        <v>133</v>
      </c>
      <c r="V25" s="9" t="n">
        <f aca="false">H25-T25</f>
        <v>565</v>
      </c>
    </row>
    <row r="26" customFormat="false" ht="15" hidden="false" customHeight="false" outlineLevel="0" collapsed="false">
      <c r="A26" s="8" t="s">
        <v>98</v>
      </c>
      <c r="B26" s="8" t="s">
        <v>120</v>
      </c>
      <c r="C26" s="8" t="s">
        <v>121</v>
      </c>
      <c r="D26" s="8" t="s">
        <v>85</v>
      </c>
      <c r="E26" s="8" t="s">
        <v>86</v>
      </c>
      <c r="F26" s="8" t="n">
        <v>0</v>
      </c>
      <c r="G26" s="8" t="s">
        <v>117</v>
      </c>
      <c r="H26" s="9" t="n">
        <v>114</v>
      </c>
      <c r="I26" s="9" t="n">
        <v>114</v>
      </c>
      <c r="J26" s="9" t="n">
        <v>0</v>
      </c>
      <c r="K26" s="9" t="n">
        <v>0</v>
      </c>
      <c r="L26" s="9" t="n">
        <v>0</v>
      </c>
      <c r="M26" s="9" t="n">
        <v>62</v>
      </c>
      <c r="N26" s="9" t="n">
        <v>0</v>
      </c>
      <c r="O26" s="9" t="n">
        <v>114</v>
      </c>
      <c r="P26" s="9" t="n">
        <v>114</v>
      </c>
      <c r="Q26" s="9" t="n">
        <v>0</v>
      </c>
      <c r="R26" s="9" t="n">
        <v>0</v>
      </c>
      <c r="S26" s="9" t="n">
        <v>0</v>
      </c>
      <c r="T26" s="9" t="n">
        <v>166</v>
      </c>
      <c r="U26" s="9" t="n">
        <f aca="false">H26-O26</f>
        <v>0</v>
      </c>
      <c r="V26" s="9" t="n">
        <f aca="false">H26-T26</f>
        <v>-52</v>
      </c>
    </row>
    <row r="27" customFormat="false" ht="15" hidden="false" customHeight="false" outlineLevel="0" collapsed="false">
      <c r="A27" s="8" t="s">
        <v>98</v>
      </c>
      <c r="B27" s="8" t="s">
        <v>120</v>
      </c>
      <c r="C27" s="8" t="s">
        <v>121</v>
      </c>
      <c r="D27" s="8" t="s">
        <v>87</v>
      </c>
      <c r="E27" s="8" t="s">
        <v>72</v>
      </c>
      <c r="F27" s="8" t="n">
        <v>0</v>
      </c>
      <c r="G27" s="8" t="s">
        <v>117</v>
      </c>
      <c r="H27" s="9" t="n">
        <v>131</v>
      </c>
      <c r="I27" s="9" t="n">
        <v>131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164</v>
      </c>
      <c r="P27" s="9" t="n">
        <v>175</v>
      </c>
      <c r="Q27" s="9" t="n">
        <v>0</v>
      </c>
      <c r="R27" s="9" t="n">
        <v>0</v>
      </c>
      <c r="S27" s="9" t="n">
        <v>0</v>
      </c>
      <c r="T27" s="9" t="n">
        <v>119</v>
      </c>
      <c r="U27" s="9" t="n">
        <f aca="false">H27-O27</f>
        <v>-33</v>
      </c>
      <c r="V27" s="9" t="n">
        <f aca="false">H27-T27</f>
        <v>12</v>
      </c>
    </row>
    <row r="28" customFormat="false" ht="15" hidden="false" customHeight="false" outlineLevel="0" collapsed="false">
      <c r="A28" s="8" t="s">
        <v>98</v>
      </c>
      <c r="B28" s="8" t="s">
        <v>120</v>
      </c>
      <c r="C28" s="8" t="s">
        <v>121</v>
      </c>
      <c r="D28" s="8" t="s">
        <v>71</v>
      </c>
      <c r="E28" s="8" t="s">
        <v>72</v>
      </c>
      <c r="F28" s="8" t="n">
        <v>1</v>
      </c>
      <c r="G28" s="8" t="s">
        <v>117</v>
      </c>
      <c r="H28" s="9" t="n">
        <v>245</v>
      </c>
      <c r="I28" s="9" t="n">
        <v>230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142</v>
      </c>
      <c r="P28" s="9" t="n">
        <v>142</v>
      </c>
      <c r="Q28" s="9" t="n">
        <v>0</v>
      </c>
      <c r="R28" s="9" t="n">
        <v>0</v>
      </c>
      <c r="S28" s="9" t="n">
        <v>0</v>
      </c>
      <c r="T28" s="9" t="n">
        <v>213</v>
      </c>
      <c r="U28" s="9" t="n">
        <f aca="false">H28-O28</f>
        <v>103</v>
      </c>
      <c r="V28" s="9" t="n">
        <f aca="false">H28-T28</f>
        <v>32</v>
      </c>
    </row>
    <row r="29" customFormat="false" ht="15" hidden="false" customHeight="false" outlineLevel="0" collapsed="false">
      <c r="A29" s="8" t="s">
        <v>98</v>
      </c>
      <c r="B29" s="8" t="s">
        <v>120</v>
      </c>
      <c r="C29" s="8" t="s">
        <v>121</v>
      </c>
      <c r="D29" s="8" t="s">
        <v>73</v>
      </c>
      <c r="E29" s="8" t="s">
        <v>74</v>
      </c>
      <c r="F29" s="8" t="n">
        <v>1</v>
      </c>
      <c r="G29" s="8" t="s">
        <v>117</v>
      </c>
      <c r="H29" s="9" t="n">
        <v>112</v>
      </c>
      <c r="I29" s="9" t="n">
        <v>112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146</v>
      </c>
      <c r="P29" s="9" t="n">
        <v>146</v>
      </c>
      <c r="Q29" s="9" t="n">
        <v>0</v>
      </c>
      <c r="R29" s="9" t="n">
        <v>0</v>
      </c>
      <c r="S29" s="9" t="n">
        <v>0</v>
      </c>
      <c r="T29" s="9" t="n">
        <v>113</v>
      </c>
      <c r="U29" s="9" t="n">
        <f aca="false">H29-O29</f>
        <v>-34</v>
      </c>
      <c r="V29" s="9" t="n">
        <f aca="false">H29-T29</f>
        <v>-1</v>
      </c>
    </row>
    <row r="30" customFormat="false" ht="15" hidden="false" customHeight="false" outlineLevel="0" collapsed="false">
      <c r="A30" s="8" t="s">
        <v>98</v>
      </c>
      <c r="B30" s="8" t="s">
        <v>120</v>
      </c>
      <c r="C30" s="8" t="s">
        <v>121</v>
      </c>
      <c r="D30" s="8" t="s">
        <v>75</v>
      </c>
      <c r="E30" s="8" t="s">
        <v>74</v>
      </c>
      <c r="F30" s="8" t="n">
        <v>1</v>
      </c>
      <c r="G30" s="8" t="s">
        <v>117</v>
      </c>
      <c r="H30" s="9" t="n">
        <v>150</v>
      </c>
      <c r="I30" s="9" t="n">
        <v>150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132</v>
      </c>
      <c r="P30" s="9" t="n">
        <v>132</v>
      </c>
      <c r="Q30" s="9" t="n">
        <v>0</v>
      </c>
      <c r="R30" s="9" t="n">
        <v>0</v>
      </c>
      <c r="S30" s="9" t="n">
        <v>0</v>
      </c>
      <c r="T30" s="9" t="n">
        <v>119</v>
      </c>
      <c r="U30" s="9" t="n">
        <f aca="false">H30-O30</f>
        <v>18</v>
      </c>
      <c r="V30" s="9" t="n">
        <f aca="false">H30-T30</f>
        <v>31</v>
      </c>
    </row>
    <row r="31" customFormat="false" ht="15" hidden="false" customHeight="false" outlineLevel="0" collapsed="false">
      <c r="A31" s="8" t="s">
        <v>98</v>
      </c>
      <c r="B31" s="8" t="s">
        <v>120</v>
      </c>
      <c r="C31" s="8" t="s">
        <v>121</v>
      </c>
      <c r="D31" s="8" t="s">
        <v>76</v>
      </c>
      <c r="E31" s="8" t="s">
        <v>74</v>
      </c>
      <c r="F31" s="8" t="n">
        <v>1</v>
      </c>
      <c r="G31" s="8" t="s">
        <v>117</v>
      </c>
      <c r="H31" s="9" t="n">
        <v>174</v>
      </c>
      <c r="I31" s="9" t="n">
        <v>174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146</v>
      </c>
      <c r="P31" s="9" t="n">
        <v>146</v>
      </c>
      <c r="Q31" s="9" t="n">
        <v>0</v>
      </c>
      <c r="R31" s="9" t="n">
        <v>0</v>
      </c>
      <c r="S31" s="9" t="n">
        <v>0</v>
      </c>
      <c r="T31" s="9" t="n">
        <v>129</v>
      </c>
      <c r="U31" s="9" t="n">
        <f aca="false">H31-O31</f>
        <v>28</v>
      </c>
      <c r="V31" s="9" t="n">
        <f aca="false">H31-T31</f>
        <v>45</v>
      </c>
    </row>
    <row r="32" customFormat="false" ht="15" hidden="false" customHeight="false" outlineLevel="0" collapsed="false">
      <c r="A32" s="8" t="s">
        <v>98</v>
      </c>
      <c r="B32" s="8" t="s">
        <v>120</v>
      </c>
      <c r="C32" s="8" t="s">
        <v>121</v>
      </c>
      <c r="D32" s="8" t="s">
        <v>77</v>
      </c>
      <c r="E32" s="8" t="s">
        <v>78</v>
      </c>
      <c r="F32" s="8" t="n">
        <v>1</v>
      </c>
      <c r="G32" s="8" t="s">
        <v>117</v>
      </c>
      <c r="H32" s="9" t="n">
        <v>129</v>
      </c>
      <c r="I32" s="9" t="n">
        <v>129</v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v>133</v>
      </c>
      <c r="P32" s="9" t="n">
        <v>133</v>
      </c>
      <c r="Q32" s="9" t="n">
        <v>0</v>
      </c>
      <c r="R32" s="9" t="n">
        <v>0</v>
      </c>
      <c r="S32" s="9" t="n">
        <v>0</v>
      </c>
      <c r="T32" s="9" t="n">
        <v>103</v>
      </c>
      <c r="U32" s="9" t="n">
        <f aca="false">H32-O32</f>
        <v>-4</v>
      </c>
      <c r="V32" s="9" t="n">
        <f aca="false">H32-T32</f>
        <v>26</v>
      </c>
    </row>
    <row r="33" customFormat="false" ht="15" hidden="false" customHeight="false" outlineLevel="0" collapsed="false">
      <c r="A33" s="8" t="s">
        <v>98</v>
      </c>
      <c r="B33" s="8" t="s">
        <v>120</v>
      </c>
      <c r="C33" s="8" t="s">
        <v>121</v>
      </c>
      <c r="D33" s="8" t="s">
        <v>79</v>
      </c>
      <c r="E33" s="8" t="s">
        <v>78</v>
      </c>
      <c r="F33" s="8" t="n">
        <v>1</v>
      </c>
      <c r="G33" s="8" t="s">
        <v>117</v>
      </c>
      <c r="H33" s="9" t="n">
        <v>176</v>
      </c>
      <c r="I33" s="9" t="n">
        <v>176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156</v>
      </c>
      <c r="P33" s="9" t="n">
        <v>156</v>
      </c>
      <c r="Q33" s="9" t="n">
        <v>0</v>
      </c>
      <c r="R33" s="9" t="n">
        <v>0</v>
      </c>
      <c r="S33" s="9" t="n">
        <v>0</v>
      </c>
      <c r="T33" s="9" t="n">
        <v>220</v>
      </c>
      <c r="U33" s="9" t="n">
        <f aca="false">H33-O33</f>
        <v>20</v>
      </c>
      <c r="V33" s="9" t="n">
        <f aca="false">H33-T33</f>
        <v>-44</v>
      </c>
    </row>
    <row r="34" customFormat="false" ht="15" hidden="false" customHeight="false" outlineLevel="0" collapsed="false">
      <c r="A34" s="8" t="s">
        <v>98</v>
      </c>
      <c r="B34" s="8" t="s">
        <v>120</v>
      </c>
      <c r="C34" s="8" t="s">
        <v>121</v>
      </c>
      <c r="D34" s="8" t="s">
        <v>80</v>
      </c>
      <c r="E34" s="8" t="s">
        <v>78</v>
      </c>
      <c r="F34" s="8" t="n">
        <v>1</v>
      </c>
      <c r="G34" s="8" t="s">
        <v>117</v>
      </c>
      <c r="H34" s="9" t="n">
        <v>173</v>
      </c>
      <c r="I34" s="9" t="n">
        <v>173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160</v>
      </c>
      <c r="P34" s="9" t="n">
        <v>160</v>
      </c>
      <c r="Q34" s="9" t="n">
        <v>0</v>
      </c>
      <c r="R34" s="9" t="n">
        <v>0</v>
      </c>
      <c r="S34" s="9" t="n">
        <v>0</v>
      </c>
      <c r="T34" s="9" t="n">
        <v>110</v>
      </c>
      <c r="U34" s="9" t="n">
        <f aca="false">H34-O34</f>
        <v>13</v>
      </c>
      <c r="V34" s="9" t="n">
        <f aca="false">H34-T34</f>
        <v>63</v>
      </c>
    </row>
    <row r="35" customFormat="false" ht="15" hidden="false" customHeight="false" outlineLevel="0" collapsed="false">
      <c r="A35" s="8" t="s">
        <v>98</v>
      </c>
      <c r="B35" s="8" t="s">
        <v>120</v>
      </c>
      <c r="C35" s="8" t="s">
        <v>121</v>
      </c>
      <c r="D35" s="8" t="s">
        <v>81</v>
      </c>
      <c r="E35" s="8" t="s">
        <v>82</v>
      </c>
      <c r="F35" s="8" t="n">
        <v>1</v>
      </c>
      <c r="G35" s="8" t="s">
        <v>117</v>
      </c>
      <c r="H35" s="9" t="n">
        <v>78</v>
      </c>
      <c r="I35" s="9" t="n">
        <v>78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129</v>
      </c>
      <c r="P35" s="9" t="n">
        <v>129</v>
      </c>
      <c r="Q35" s="9" t="n">
        <v>0</v>
      </c>
      <c r="R35" s="9" t="n">
        <v>0</v>
      </c>
      <c r="S35" s="9" t="n">
        <v>0</v>
      </c>
      <c r="T35" s="9" t="n">
        <v>66</v>
      </c>
      <c r="U35" s="9" t="n">
        <f aca="false">H35-O35</f>
        <v>-51</v>
      </c>
      <c r="V35" s="9" t="n">
        <f aca="false">H35-T35</f>
        <v>12</v>
      </c>
    </row>
    <row r="36" customFormat="false" ht="15" hidden="false" customHeight="false" outlineLevel="0" collapsed="false">
      <c r="A36" s="8" t="s">
        <v>98</v>
      </c>
      <c r="B36" s="8" t="s">
        <v>120</v>
      </c>
      <c r="C36" s="8" t="s">
        <v>121</v>
      </c>
      <c r="D36" s="8" t="s">
        <v>88</v>
      </c>
      <c r="E36" s="8" t="s">
        <v>82</v>
      </c>
      <c r="F36" s="8" t="n">
        <v>0</v>
      </c>
      <c r="G36" s="8" t="s">
        <v>117</v>
      </c>
      <c r="H36" s="9" t="n">
        <v>146</v>
      </c>
      <c r="I36" s="9" t="n">
        <v>146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168</v>
      </c>
      <c r="P36" s="9" t="n">
        <v>168</v>
      </c>
      <c r="Q36" s="9" t="n">
        <v>0</v>
      </c>
      <c r="R36" s="9" t="n">
        <v>0</v>
      </c>
      <c r="S36" s="9" t="n">
        <v>0</v>
      </c>
      <c r="T36" s="9" t="n">
        <v>462</v>
      </c>
      <c r="U36" s="9" t="n">
        <f aca="false">H36-O36</f>
        <v>-22</v>
      </c>
      <c r="V36" s="9" t="n">
        <f aca="false">H36-T36</f>
        <v>-316</v>
      </c>
    </row>
    <row r="37" customFormat="false" ht="15" hidden="false" customHeight="false" outlineLevel="0" collapsed="false">
      <c r="A37" s="8" t="s">
        <v>98</v>
      </c>
      <c r="B37" s="8" t="s">
        <v>120</v>
      </c>
      <c r="C37" s="8" t="s">
        <v>121</v>
      </c>
      <c r="D37" s="8" t="s">
        <v>89</v>
      </c>
      <c r="E37" s="8" t="s">
        <v>82</v>
      </c>
      <c r="F37" s="8" t="n">
        <v>0</v>
      </c>
      <c r="G37" s="8" t="s">
        <v>117</v>
      </c>
      <c r="H37" s="9" t="n">
        <v>206</v>
      </c>
      <c r="I37" s="9" t="n">
        <v>206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171</v>
      </c>
      <c r="P37" s="9" t="n">
        <v>171</v>
      </c>
      <c r="Q37" s="9" t="n">
        <v>0</v>
      </c>
      <c r="R37" s="9" t="n">
        <v>0</v>
      </c>
      <c r="S37" s="9" t="n">
        <v>0</v>
      </c>
      <c r="T37" s="9" t="n">
        <v>34</v>
      </c>
      <c r="U37" s="9" t="n">
        <f aca="false">H37-O37</f>
        <v>35</v>
      </c>
      <c r="V37" s="9" t="n">
        <f aca="false">H37-T37</f>
        <v>172</v>
      </c>
    </row>
    <row r="38" customFormat="false" ht="15" hidden="false" customHeight="false" outlineLevel="0" collapsed="false">
      <c r="A38" s="8" t="s">
        <v>98</v>
      </c>
      <c r="B38" s="8" t="s">
        <v>115</v>
      </c>
      <c r="C38" s="8" t="s">
        <v>116</v>
      </c>
      <c r="D38" s="8" t="s">
        <v>85</v>
      </c>
      <c r="E38" s="8" t="s">
        <v>86</v>
      </c>
      <c r="F38" s="8" t="n">
        <v>0</v>
      </c>
      <c r="G38" s="8" t="s">
        <v>117</v>
      </c>
      <c r="H38" s="9" t="n">
        <v>3660</v>
      </c>
      <c r="I38" s="9" t="n">
        <v>3660</v>
      </c>
      <c r="J38" s="9" t="n">
        <v>0</v>
      </c>
      <c r="K38" s="9" t="n">
        <v>-173</v>
      </c>
      <c r="L38" s="9" t="n">
        <v>0</v>
      </c>
      <c r="M38" s="9" t="n">
        <v>1942</v>
      </c>
      <c r="N38" s="9" t="n">
        <v>0</v>
      </c>
      <c r="O38" s="9" t="n">
        <v>3660</v>
      </c>
      <c r="P38" s="9" t="n">
        <v>3660</v>
      </c>
      <c r="Q38" s="9" t="n">
        <v>0</v>
      </c>
      <c r="R38" s="9" t="n">
        <v>-173</v>
      </c>
      <c r="S38" s="9" t="n">
        <v>0</v>
      </c>
      <c r="T38" s="9" t="n">
        <v>4560</v>
      </c>
      <c r="U38" s="9" t="n">
        <f aca="false">H38-O38</f>
        <v>0</v>
      </c>
      <c r="V38" s="9" t="n">
        <f aca="false">H38-T38</f>
        <v>-900</v>
      </c>
    </row>
    <row r="39" customFormat="false" ht="15" hidden="false" customHeight="false" outlineLevel="0" collapsed="false">
      <c r="A39" s="8" t="s">
        <v>98</v>
      </c>
      <c r="B39" s="8" t="s">
        <v>115</v>
      </c>
      <c r="C39" s="8" t="s">
        <v>116</v>
      </c>
      <c r="D39" s="8" t="s">
        <v>87</v>
      </c>
      <c r="E39" s="8" t="s">
        <v>72</v>
      </c>
      <c r="F39" s="8" t="n">
        <v>0</v>
      </c>
      <c r="G39" s="8" t="s">
        <v>117</v>
      </c>
      <c r="H39" s="9" t="n">
        <v>2088</v>
      </c>
      <c r="I39" s="9" t="n">
        <v>2088</v>
      </c>
      <c r="J39" s="9" t="n">
        <v>0</v>
      </c>
      <c r="K39" s="9" t="n">
        <v>-171</v>
      </c>
      <c r="L39" s="9" t="n">
        <v>0</v>
      </c>
      <c r="M39" s="9" t="n">
        <v>0</v>
      </c>
      <c r="N39" s="9" t="n">
        <v>0</v>
      </c>
      <c r="O39" s="9" t="n">
        <v>2748</v>
      </c>
      <c r="P39" s="9" t="n">
        <v>2960</v>
      </c>
      <c r="Q39" s="9" t="n">
        <v>0</v>
      </c>
      <c r="R39" s="9" t="n">
        <v>-173</v>
      </c>
      <c r="S39" s="9" t="n">
        <v>0</v>
      </c>
      <c r="T39" s="9" t="n">
        <v>1535</v>
      </c>
      <c r="U39" s="9" t="n">
        <f aca="false">H39-O39</f>
        <v>-660</v>
      </c>
      <c r="V39" s="9" t="n">
        <f aca="false">H39-T39</f>
        <v>553</v>
      </c>
    </row>
    <row r="40" customFormat="false" ht="15" hidden="false" customHeight="false" outlineLevel="0" collapsed="false">
      <c r="A40" s="8" t="s">
        <v>98</v>
      </c>
      <c r="B40" s="8" t="s">
        <v>115</v>
      </c>
      <c r="C40" s="8" t="s">
        <v>116</v>
      </c>
      <c r="D40" s="8" t="s">
        <v>71</v>
      </c>
      <c r="E40" s="8" t="s">
        <v>72</v>
      </c>
      <c r="F40" s="8" t="n">
        <v>1</v>
      </c>
      <c r="G40" s="8" t="s">
        <v>117</v>
      </c>
      <c r="H40" s="9" t="n">
        <v>4157</v>
      </c>
      <c r="I40" s="9" t="n">
        <v>3326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3293</v>
      </c>
      <c r="P40" s="9" t="n">
        <v>3293</v>
      </c>
      <c r="Q40" s="9" t="n">
        <v>0</v>
      </c>
      <c r="R40" s="9" t="n">
        <v>0</v>
      </c>
      <c r="S40" s="9" t="n">
        <v>0</v>
      </c>
      <c r="T40" s="9" t="n">
        <v>3351</v>
      </c>
      <c r="U40" s="9" t="n">
        <f aca="false">H40-O40</f>
        <v>864</v>
      </c>
      <c r="V40" s="9" t="n">
        <f aca="false">H40-T40</f>
        <v>806</v>
      </c>
    </row>
    <row r="41" customFormat="false" ht="15" hidden="false" customHeight="false" outlineLevel="0" collapsed="false">
      <c r="A41" s="8" t="s">
        <v>98</v>
      </c>
      <c r="B41" s="8" t="s">
        <v>115</v>
      </c>
      <c r="C41" s="8" t="s">
        <v>116</v>
      </c>
      <c r="D41" s="8" t="s">
        <v>73</v>
      </c>
      <c r="E41" s="8" t="s">
        <v>74</v>
      </c>
      <c r="F41" s="8" t="n">
        <v>1</v>
      </c>
      <c r="G41" s="8" t="s">
        <v>117</v>
      </c>
      <c r="H41" s="9" t="n">
        <v>1944</v>
      </c>
      <c r="I41" s="9" t="n">
        <v>1944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2906</v>
      </c>
      <c r="P41" s="9" t="n">
        <v>3079</v>
      </c>
      <c r="Q41" s="9" t="n">
        <v>0</v>
      </c>
      <c r="R41" s="9" t="n">
        <v>-173</v>
      </c>
      <c r="S41" s="9" t="n">
        <v>0</v>
      </c>
      <c r="T41" s="9" t="n">
        <v>4845</v>
      </c>
      <c r="U41" s="9" t="n">
        <f aca="false">H41-O41</f>
        <v>-962</v>
      </c>
      <c r="V41" s="9" t="n">
        <f aca="false">H41-T41</f>
        <v>-2901</v>
      </c>
    </row>
    <row r="42" customFormat="false" ht="15" hidden="false" customHeight="false" outlineLevel="0" collapsed="false">
      <c r="A42" s="8" t="s">
        <v>98</v>
      </c>
      <c r="B42" s="8" t="s">
        <v>115</v>
      </c>
      <c r="C42" s="8" t="s">
        <v>116</v>
      </c>
      <c r="D42" s="8" t="s">
        <v>75</v>
      </c>
      <c r="E42" s="8" t="s">
        <v>74</v>
      </c>
      <c r="F42" s="8" t="n">
        <v>1</v>
      </c>
      <c r="G42" s="8" t="s">
        <v>117</v>
      </c>
      <c r="H42" s="9" t="n">
        <v>2488</v>
      </c>
      <c r="I42" s="9" t="n">
        <v>2488</v>
      </c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2391</v>
      </c>
      <c r="P42" s="9" t="n">
        <v>2564</v>
      </c>
      <c r="Q42" s="9" t="n">
        <v>0</v>
      </c>
      <c r="R42" s="9" t="n">
        <v>-173</v>
      </c>
      <c r="S42" s="9" t="n">
        <v>0</v>
      </c>
      <c r="T42" s="9" t="n">
        <v>2549</v>
      </c>
      <c r="U42" s="9" t="n">
        <f aca="false">H42-O42</f>
        <v>97</v>
      </c>
      <c r="V42" s="9" t="n">
        <f aca="false">H42-T42</f>
        <v>-61</v>
      </c>
    </row>
    <row r="43" customFormat="false" ht="15" hidden="false" customHeight="false" outlineLevel="0" collapsed="false">
      <c r="A43" s="8" t="s">
        <v>98</v>
      </c>
      <c r="B43" s="8" t="s">
        <v>115</v>
      </c>
      <c r="C43" s="8" t="s">
        <v>116</v>
      </c>
      <c r="D43" s="8" t="s">
        <v>76</v>
      </c>
      <c r="E43" s="8" t="s">
        <v>74</v>
      </c>
      <c r="F43" s="8" t="n">
        <v>1</v>
      </c>
      <c r="G43" s="8" t="s">
        <v>117</v>
      </c>
      <c r="H43" s="9" t="n">
        <v>2927</v>
      </c>
      <c r="I43" s="9" t="n">
        <v>2927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2915</v>
      </c>
      <c r="P43" s="9" t="n">
        <v>1049</v>
      </c>
      <c r="Q43" s="9" t="n">
        <v>2000</v>
      </c>
      <c r="R43" s="9" t="n">
        <v>-173</v>
      </c>
      <c r="S43" s="9" t="n">
        <v>0</v>
      </c>
      <c r="T43" s="9" t="n">
        <v>2772</v>
      </c>
      <c r="U43" s="9" t="n">
        <f aca="false">H43-O43</f>
        <v>12</v>
      </c>
      <c r="V43" s="9" t="n">
        <f aca="false">H43-T43</f>
        <v>155</v>
      </c>
    </row>
    <row r="44" customFormat="false" ht="15" hidden="false" customHeight="false" outlineLevel="0" collapsed="false">
      <c r="A44" s="8" t="s">
        <v>98</v>
      </c>
      <c r="B44" s="8" t="s">
        <v>115</v>
      </c>
      <c r="C44" s="8" t="s">
        <v>116</v>
      </c>
      <c r="D44" s="8" t="s">
        <v>77</v>
      </c>
      <c r="E44" s="8" t="s">
        <v>78</v>
      </c>
      <c r="F44" s="8" t="n">
        <v>1</v>
      </c>
      <c r="G44" s="8" t="s">
        <v>117</v>
      </c>
      <c r="H44" s="9" t="n">
        <v>2418</v>
      </c>
      <c r="I44" s="9" t="n">
        <v>2418</v>
      </c>
      <c r="J44" s="9" t="n">
        <v>0</v>
      </c>
      <c r="K44" s="9" t="n">
        <v>0</v>
      </c>
      <c r="L44" s="9" t="n">
        <v>0</v>
      </c>
      <c r="M44" s="9" t="n">
        <v>0</v>
      </c>
      <c r="N44" s="9" t="n">
        <v>0</v>
      </c>
      <c r="O44" s="9" t="n">
        <v>2468</v>
      </c>
      <c r="P44" s="9" t="n">
        <v>1641</v>
      </c>
      <c r="Q44" s="9" t="n">
        <v>1000</v>
      </c>
      <c r="R44" s="9" t="n">
        <v>-173</v>
      </c>
      <c r="S44" s="9" t="n">
        <v>0</v>
      </c>
      <c r="T44" s="9" t="n">
        <v>3464</v>
      </c>
      <c r="U44" s="9" t="n">
        <f aca="false">H44-O44</f>
        <v>-50</v>
      </c>
      <c r="V44" s="9" t="n">
        <f aca="false">H44-T44</f>
        <v>-1046</v>
      </c>
    </row>
    <row r="45" customFormat="false" ht="15" hidden="false" customHeight="false" outlineLevel="0" collapsed="false">
      <c r="A45" s="8" t="s">
        <v>98</v>
      </c>
      <c r="B45" s="8" t="s">
        <v>115</v>
      </c>
      <c r="C45" s="8" t="s">
        <v>116</v>
      </c>
      <c r="D45" s="8" t="s">
        <v>79</v>
      </c>
      <c r="E45" s="8" t="s">
        <v>78</v>
      </c>
      <c r="F45" s="8" t="n">
        <v>1</v>
      </c>
      <c r="G45" s="8" t="s">
        <v>117</v>
      </c>
      <c r="H45" s="9" t="n">
        <v>3068</v>
      </c>
      <c r="I45" s="9" t="n">
        <v>3068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2409</v>
      </c>
      <c r="P45" s="9" t="n">
        <v>2582</v>
      </c>
      <c r="Q45" s="9" t="n">
        <v>0</v>
      </c>
      <c r="R45" s="9" t="n">
        <v>-173</v>
      </c>
      <c r="S45" s="9" t="n">
        <v>0</v>
      </c>
      <c r="T45" s="9" t="n">
        <v>3102</v>
      </c>
      <c r="U45" s="9" t="n">
        <f aca="false">H45-O45</f>
        <v>659</v>
      </c>
      <c r="V45" s="9" t="n">
        <f aca="false">H45-T45</f>
        <v>-34</v>
      </c>
    </row>
    <row r="46" customFormat="false" ht="15" hidden="false" customHeight="false" outlineLevel="0" collapsed="false">
      <c r="A46" s="8" t="s">
        <v>98</v>
      </c>
      <c r="B46" s="8" t="s">
        <v>115</v>
      </c>
      <c r="C46" s="8" t="s">
        <v>116</v>
      </c>
      <c r="D46" s="8" t="s">
        <v>80</v>
      </c>
      <c r="E46" s="8" t="s">
        <v>78</v>
      </c>
      <c r="F46" s="8" t="n">
        <v>1</v>
      </c>
      <c r="G46" s="8" t="s">
        <v>117</v>
      </c>
      <c r="H46" s="9" t="n">
        <v>3011</v>
      </c>
      <c r="I46" s="9" t="n">
        <v>3011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4916</v>
      </c>
      <c r="P46" s="9" t="n">
        <v>5089</v>
      </c>
      <c r="Q46" s="9" t="n">
        <v>0</v>
      </c>
      <c r="R46" s="9" t="n">
        <v>-173</v>
      </c>
      <c r="S46" s="9" t="n">
        <v>0</v>
      </c>
      <c r="T46" s="9" t="n">
        <v>5014</v>
      </c>
      <c r="U46" s="9" t="n">
        <f aca="false">H46-O46</f>
        <v>-1905</v>
      </c>
      <c r="V46" s="9" t="n">
        <f aca="false">H46-T46</f>
        <v>-2003</v>
      </c>
    </row>
    <row r="47" customFormat="false" ht="15" hidden="false" customHeight="false" outlineLevel="0" collapsed="false">
      <c r="A47" s="8" t="s">
        <v>98</v>
      </c>
      <c r="B47" s="8" t="s">
        <v>115</v>
      </c>
      <c r="C47" s="8" t="s">
        <v>116</v>
      </c>
      <c r="D47" s="8" t="s">
        <v>81</v>
      </c>
      <c r="E47" s="8" t="s">
        <v>82</v>
      </c>
      <c r="F47" s="8" t="n">
        <v>1</v>
      </c>
      <c r="G47" s="8" t="s">
        <v>117</v>
      </c>
      <c r="H47" s="9" t="n">
        <v>1401</v>
      </c>
      <c r="I47" s="9" t="n">
        <v>1401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2624</v>
      </c>
      <c r="P47" s="9" t="n">
        <v>3790</v>
      </c>
      <c r="Q47" s="9" t="n">
        <v>-1000</v>
      </c>
      <c r="R47" s="9" t="n">
        <v>-173</v>
      </c>
      <c r="S47" s="9" t="n">
        <v>0</v>
      </c>
      <c r="T47" s="9" t="n">
        <v>2447</v>
      </c>
      <c r="U47" s="9" t="n">
        <f aca="false">H47-O47</f>
        <v>-1223</v>
      </c>
      <c r="V47" s="9" t="n">
        <f aca="false">H47-T47</f>
        <v>-1046</v>
      </c>
    </row>
    <row r="48" customFormat="false" ht="15" hidden="false" customHeight="false" outlineLevel="0" collapsed="false">
      <c r="A48" s="8" t="s">
        <v>98</v>
      </c>
      <c r="B48" s="8" t="s">
        <v>115</v>
      </c>
      <c r="C48" s="8" t="s">
        <v>116</v>
      </c>
      <c r="D48" s="8" t="s">
        <v>88</v>
      </c>
      <c r="E48" s="8" t="s">
        <v>82</v>
      </c>
      <c r="F48" s="8" t="n">
        <v>0</v>
      </c>
      <c r="G48" s="8" t="s">
        <v>117</v>
      </c>
      <c r="H48" s="9" t="n">
        <v>2712</v>
      </c>
      <c r="I48" s="9" t="n">
        <v>2712</v>
      </c>
      <c r="J48" s="9" t="n">
        <v>0</v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3524</v>
      </c>
      <c r="P48" s="9" t="n">
        <v>3697</v>
      </c>
      <c r="Q48" s="9" t="n">
        <v>0</v>
      </c>
      <c r="R48" s="9" t="n">
        <v>-173</v>
      </c>
      <c r="S48" s="9" t="n">
        <v>0</v>
      </c>
      <c r="T48" s="9" t="n">
        <v>3473</v>
      </c>
      <c r="U48" s="9" t="n">
        <f aca="false">H48-O48</f>
        <v>-812</v>
      </c>
      <c r="V48" s="9" t="n">
        <f aca="false">H48-T48</f>
        <v>-761</v>
      </c>
    </row>
    <row r="49" customFormat="false" ht="15" hidden="false" customHeight="false" outlineLevel="0" collapsed="false">
      <c r="A49" s="8" t="s">
        <v>98</v>
      </c>
      <c r="B49" s="8" t="s">
        <v>115</v>
      </c>
      <c r="C49" s="8" t="s">
        <v>116</v>
      </c>
      <c r="D49" s="8" t="s">
        <v>89</v>
      </c>
      <c r="E49" s="8" t="s">
        <v>82</v>
      </c>
      <c r="F49" s="8" t="n">
        <v>0</v>
      </c>
      <c r="G49" s="8" t="s">
        <v>117</v>
      </c>
      <c r="H49" s="9" t="n">
        <v>3585</v>
      </c>
      <c r="I49" s="9" t="n">
        <v>3585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3776</v>
      </c>
      <c r="P49" s="9" t="n">
        <v>3776</v>
      </c>
      <c r="Q49" s="9" t="n">
        <v>0</v>
      </c>
      <c r="R49" s="9" t="n">
        <v>0</v>
      </c>
      <c r="S49" s="9" t="n">
        <v>0</v>
      </c>
      <c r="T49" s="9" t="n">
        <v>3111</v>
      </c>
      <c r="U49" s="9" t="n">
        <f aca="false">H49-O49</f>
        <v>-191</v>
      </c>
      <c r="V49" s="9" t="n">
        <f aca="false">H49-T49</f>
        <v>474</v>
      </c>
    </row>
    <row r="50" customFormat="false" ht="15" hidden="false" customHeight="false" outlineLevel="0" collapsed="false">
      <c r="A50" s="8" t="s">
        <v>99</v>
      </c>
      <c r="B50" s="8" t="s">
        <v>124</v>
      </c>
      <c r="C50" s="8" t="s">
        <v>125</v>
      </c>
      <c r="D50" s="8" t="s">
        <v>85</v>
      </c>
      <c r="E50" s="8" t="s">
        <v>86</v>
      </c>
      <c r="F50" s="8" t="n">
        <v>0</v>
      </c>
      <c r="G50" s="8" t="s">
        <v>126</v>
      </c>
      <c r="H50" s="9" t="n">
        <v>3401</v>
      </c>
      <c r="I50" s="9" t="n">
        <v>3401</v>
      </c>
      <c r="J50" s="9" t="n">
        <v>0</v>
      </c>
      <c r="K50" s="9" t="n">
        <v>701</v>
      </c>
      <c r="L50" s="9" t="n">
        <v>2</v>
      </c>
      <c r="M50" s="9" t="n">
        <v>581</v>
      </c>
      <c r="N50" s="9" t="n">
        <v>0</v>
      </c>
      <c r="O50" s="9" t="n">
        <v>3401</v>
      </c>
      <c r="P50" s="9" t="n">
        <v>3401</v>
      </c>
      <c r="Q50" s="9" t="n">
        <v>0</v>
      </c>
      <c r="R50" s="9" t="n">
        <v>701</v>
      </c>
      <c r="S50" s="9" t="n">
        <v>2</v>
      </c>
      <c r="T50" s="9" t="n">
        <v>0</v>
      </c>
      <c r="U50" s="9" t="n">
        <f aca="false">H50-O50</f>
        <v>0</v>
      </c>
      <c r="V50" s="9" t="n">
        <f aca="false">H50-T50</f>
        <v>3401</v>
      </c>
    </row>
    <row r="51" customFormat="false" ht="15" hidden="false" customHeight="false" outlineLevel="0" collapsed="false">
      <c r="A51" s="8" t="s">
        <v>99</v>
      </c>
      <c r="B51" s="8" t="s">
        <v>124</v>
      </c>
      <c r="C51" s="8" t="s">
        <v>125</v>
      </c>
      <c r="D51" s="8" t="s">
        <v>87</v>
      </c>
      <c r="E51" s="8" t="s">
        <v>72</v>
      </c>
      <c r="F51" s="8" t="n">
        <v>0</v>
      </c>
      <c r="G51" s="8" t="s">
        <v>126</v>
      </c>
      <c r="H51" s="9" t="n">
        <v>4449</v>
      </c>
      <c r="I51" s="9" t="n">
        <v>4449</v>
      </c>
      <c r="J51" s="9" t="n">
        <v>0</v>
      </c>
      <c r="K51" s="9" t="n">
        <v>4329</v>
      </c>
      <c r="L51" s="9" t="n">
        <v>2</v>
      </c>
      <c r="M51" s="9" t="n">
        <v>0</v>
      </c>
      <c r="N51" s="9" t="n">
        <v>0</v>
      </c>
      <c r="O51" s="9" t="n">
        <v>6001.33333333333</v>
      </c>
      <c r="P51" s="9" t="n">
        <v>3918</v>
      </c>
      <c r="Q51" s="9" t="n">
        <v>0</v>
      </c>
      <c r="R51" s="9" t="n">
        <v>4329</v>
      </c>
      <c r="S51" s="9" t="n">
        <v>2</v>
      </c>
      <c r="T51" s="9" t="n">
        <v>0</v>
      </c>
      <c r="U51" s="9" t="n">
        <f aca="false">H51-O51</f>
        <v>-1552.33333333333</v>
      </c>
      <c r="V51" s="9" t="n">
        <f aca="false">H51-T51</f>
        <v>4449</v>
      </c>
    </row>
    <row r="52" customFormat="false" ht="15" hidden="false" customHeight="false" outlineLevel="0" collapsed="false">
      <c r="A52" s="8" t="s">
        <v>99</v>
      </c>
      <c r="B52" s="8" t="s">
        <v>124</v>
      </c>
      <c r="C52" s="8" t="s">
        <v>125</v>
      </c>
      <c r="D52" s="8" t="s">
        <v>71</v>
      </c>
      <c r="E52" s="8" t="s">
        <v>72</v>
      </c>
      <c r="F52" s="8" t="n">
        <v>1</v>
      </c>
      <c r="G52" s="8" t="s">
        <v>126</v>
      </c>
      <c r="H52" s="9" t="n">
        <v>1995</v>
      </c>
      <c r="I52" s="9" t="n">
        <v>2256</v>
      </c>
      <c r="J52" s="9" t="n">
        <v>0</v>
      </c>
      <c r="K52" s="9" t="n">
        <v>2000</v>
      </c>
      <c r="L52" s="9" t="n">
        <v>2</v>
      </c>
      <c r="M52" s="9" t="n">
        <v>0</v>
      </c>
      <c r="N52" s="9" t="n">
        <v>0</v>
      </c>
      <c r="O52" s="9" t="n">
        <v>2000</v>
      </c>
      <c r="P52" s="9" t="n">
        <v>528</v>
      </c>
      <c r="Q52" s="9" t="n">
        <v>0</v>
      </c>
      <c r="R52" s="9" t="n">
        <v>2000</v>
      </c>
      <c r="S52" s="9" t="n">
        <v>2</v>
      </c>
      <c r="T52" s="9" t="n">
        <v>960</v>
      </c>
      <c r="U52" s="9" t="n">
        <f aca="false">H52-O52</f>
        <v>-5</v>
      </c>
      <c r="V52" s="9" t="n">
        <f aca="false">H52-T52</f>
        <v>1035</v>
      </c>
    </row>
    <row r="53" customFormat="false" ht="15" hidden="false" customHeight="false" outlineLevel="0" collapsed="false">
      <c r="A53" s="8" t="s">
        <v>99</v>
      </c>
      <c r="B53" s="8" t="s">
        <v>124</v>
      </c>
      <c r="C53" s="8" t="s">
        <v>125</v>
      </c>
      <c r="D53" s="8" t="s">
        <v>73</v>
      </c>
      <c r="E53" s="8" t="s">
        <v>74</v>
      </c>
      <c r="F53" s="8" t="n">
        <v>1</v>
      </c>
      <c r="G53" s="8" t="s">
        <v>126</v>
      </c>
      <c r="H53" s="9" t="n">
        <v>1000</v>
      </c>
      <c r="I53" s="9" t="n">
        <v>986</v>
      </c>
      <c r="J53" s="9" t="n">
        <v>0</v>
      </c>
      <c r="K53" s="9" t="n">
        <v>1000</v>
      </c>
      <c r="L53" s="9" t="n">
        <v>2</v>
      </c>
      <c r="M53" s="9" t="n">
        <v>0</v>
      </c>
      <c r="N53" s="9" t="n">
        <v>0</v>
      </c>
      <c r="O53" s="9" t="n">
        <v>1000</v>
      </c>
      <c r="P53" s="9" t="n">
        <v>532</v>
      </c>
      <c r="Q53" s="9" t="n">
        <v>0</v>
      </c>
      <c r="R53" s="9" t="n">
        <v>1000</v>
      </c>
      <c r="S53" s="9" t="n">
        <v>2</v>
      </c>
      <c r="T53" s="9" t="n">
        <v>120</v>
      </c>
      <c r="U53" s="9" t="n">
        <f aca="false">H53-O53</f>
        <v>0</v>
      </c>
      <c r="V53" s="9" t="n">
        <f aca="false">H53-T53</f>
        <v>880</v>
      </c>
    </row>
    <row r="54" customFormat="false" ht="15" hidden="false" customHeight="false" outlineLevel="0" collapsed="false">
      <c r="A54" s="8" t="s">
        <v>99</v>
      </c>
      <c r="B54" s="8" t="s">
        <v>124</v>
      </c>
      <c r="C54" s="8" t="s">
        <v>125</v>
      </c>
      <c r="D54" s="8" t="s">
        <v>75</v>
      </c>
      <c r="E54" s="8" t="s">
        <v>74</v>
      </c>
      <c r="F54" s="8" t="n">
        <v>1</v>
      </c>
      <c r="G54" s="8" t="s">
        <v>126</v>
      </c>
      <c r="H54" s="9" t="n">
        <v>750</v>
      </c>
      <c r="I54" s="9" t="n">
        <v>1134</v>
      </c>
      <c r="J54" s="9" t="n">
        <v>0</v>
      </c>
      <c r="K54" s="9" t="n">
        <v>750</v>
      </c>
      <c r="L54" s="9" t="n">
        <v>2</v>
      </c>
      <c r="M54" s="9" t="n">
        <v>0</v>
      </c>
      <c r="N54" s="9" t="n">
        <v>0</v>
      </c>
      <c r="O54" s="9" t="n">
        <v>750</v>
      </c>
      <c r="P54" s="9" t="n">
        <v>530</v>
      </c>
      <c r="Q54" s="9" t="n">
        <v>0</v>
      </c>
      <c r="R54" s="9" t="n">
        <v>750</v>
      </c>
      <c r="S54" s="9" t="n">
        <v>2</v>
      </c>
      <c r="T54" s="9" t="n">
        <v>50</v>
      </c>
      <c r="U54" s="9" t="n">
        <f aca="false">H54-O54</f>
        <v>0</v>
      </c>
      <c r="V54" s="9" t="n">
        <f aca="false">H54-T54</f>
        <v>700</v>
      </c>
    </row>
    <row r="55" customFormat="false" ht="15" hidden="false" customHeight="false" outlineLevel="0" collapsed="false">
      <c r="A55" s="8" t="s">
        <v>99</v>
      </c>
      <c r="B55" s="8" t="s">
        <v>124</v>
      </c>
      <c r="C55" s="8" t="s">
        <v>125</v>
      </c>
      <c r="D55" s="8" t="s">
        <v>76</v>
      </c>
      <c r="E55" s="8" t="s">
        <v>74</v>
      </c>
      <c r="F55" s="8" t="n">
        <v>1</v>
      </c>
      <c r="G55" s="8" t="s">
        <v>126</v>
      </c>
      <c r="H55" s="9" t="n">
        <v>750</v>
      </c>
      <c r="I55" s="9" t="n">
        <v>1368</v>
      </c>
      <c r="J55" s="9" t="n">
        <v>0</v>
      </c>
      <c r="K55" s="9" t="n">
        <v>750</v>
      </c>
      <c r="L55" s="9" t="n">
        <v>2</v>
      </c>
      <c r="M55" s="9" t="n">
        <v>0</v>
      </c>
      <c r="N55" s="9" t="n">
        <v>0</v>
      </c>
      <c r="O55" s="9" t="n">
        <v>750</v>
      </c>
      <c r="P55" s="9" t="n">
        <v>532</v>
      </c>
      <c r="Q55" s="9" t="n">
        <v>0</v>
      </c>
      <c r="R55" s="9" t="n">
        <v>750</v>
      </c>
      <c r="S55" s="9" t="n">
        <v>2</v>
      </c>
      <c r="T55" s="9" t="n">
        <v>3</v>
      </c>
      <c r="U55" s="9" t="n">
        <f aca="false">H55-O55</f>
        <v>0</v>
      </c>
      <c r="V55" s="9" t="n">
        <f aca="false">H55-T55</f>
        <v>747</v>
      </c>
    </row>
    <row r="56" customFormat="false" ht="15" hidden="false" customHeight="false" outlineLevel="0" collapsed="false">
      <c r="A56" s="8" t="s">
        <v>99</v>
      </c>
      <c r="B56" s="8" t="s">
        <v>124</v>
      </c>
      <c r="C56" s="8" t="s">
        <v>125</v>
      </c>
      <c r="D56" s="8" t="s">
        <v>77</v>
      </c>
      <c r="E56" s="8" t="s">
        <v>78</v>
      </c>
      <c r="F56" s="8" t="n">
        <v>1</v>
      </c>
      <c r="G56" s="8" t="s">
        <v>126</v>
      </c>
      <c r="H56" s="9" t="n">
        <v>500</v>
      </c>
      <c r="I56" s="9" t="n">
        <v>2139</v>
      </c>
      <c r="J56" s="9" t="n">
        <v>0</v>
      </c>
      <c r="K56" s="9" t="n">
        <v>500</v>
      </c>
      <c r="L56" s="9" t="n">
        <v>2</v>
      </c>
      <c r="M56" s="9" t="n">
        <v>0</v>
      </c>
      <c r="N56" s="9" t="n">
        <v>0</v>
      </c>
      <c r="O56" s="9" t="n">
        <v>500</v>
      </c>
      <c r="P56" s="9" t="n">
        <v>532</v>
      </c>
      <c r="Q56" s="9" t="n">
        <v>0</v>
      </c>
      <c r="R56" s="9" t="n">
        <v>500</v>
      </c>
      <c r="S56" s="9" t="n">
        <v>2</v>
      </c>
      <c r="T56" s="9" t="n">
        <v>1</v>
      </c>
      <c r="U56" s="9" t="n">
        <f aca="false">H56-O56</f>
        <v>0</v>
      </c>
      <c r="V56" s="9" t="n">
        <f aca="false">H56-T56</f>
        <v>499</v>
      </c>
    </row>
    <row r="57" customFormat="false" ht="15" hidden="false" customHeight="false" outlineLevel="0" collapsed="false">
      <c r="A57" s="8" t="s">
        <v>99</v>
      </c>
      <c r="B57" s="8" t="s">
        <v>124</v>
      </c>
      <c r="C57" s="8" t="s">
        <v>125</v>
      </c>
      <c r="D57" s="8" t="s">
        <v>79</v>
      </c>
      <c r="E57" s="8" t="s">
        <v>78</v>
      </c>
      <c r="F57" s="8" t="n">
        <v>1</v>
      </c>
      <c r="G57" s="8" t="s">
        <v>126</v>
      </c>
      <c r="H57" s="9" t="n">
        <v>500</v>
      </c>
      <c r="I57" s="9" t="n">
        <v>1360</v>
      </c>
      <c r="J57" s="9" t="n">
        <v>0</v>
      </c>
      <c r="K57" s="9" t="n">
        <v>500</v>
      </c>
      <c r="L57" s="9" t="n">
        <v>2</v>
      </c>
      <c r="M57" s="9" t="n">
        <v>0</v>
      </c>
      <c r="N57" s="9" t="n">
        <v>0</v>
      </c>
      <c r="O57" s="9" t="n">
        <v>500</v>
      </c>
      <c r="P57" s="9" t="n">
        <v>520</v>
      </c>
      <c r="Q57" s="9" t="n">
        <v>0</v>
      </c>
      <c r="R57" s="9" t="n">
        <v>500</v>
      </c>
      <c r="S57" s="9" t="n">
        <v>2</v>
      </c>
      <c r="T57" s="9" t="n">
        <v>7265</v>
      </c>
      <c r="U57" s="9" t="n">
        <f aca="false">H57-O57</f>
        <v>0</v>
      </c>
      <c r="V57" s="9" t="n">
        <f aca="false">H57-T57</f>
        <v>-6765</v>
      </c>
    </row>
    <row r="58" customFormat="false" ht="15" hidden="false" customHeight="false" outlineLevel="0" collapsed="false">
      <c r="A58" s="8" t="s">
        <v>99</v>
      </c>
      <c r="B58" s="8" t="s">
        <v>124</v>
      </c>
      <c r="C58" s="8" t="s">
        <v>125</v>
      </c>
      <c r="D58" s="8" t="s">
        <v>80</v>
      </c>
      <c r="E58" s="8" t="s">
        <v>78</v>
      </c>
      <c r="F58" s="8" t="n">
        <v>1</v>
      </c>
      <c r="G58" s="8" t="s">
        <v>126</v>
      </c>
      <c r="H58" s="9" t="n">
        <v>500</v>
      </c>
      <c r="I58" s="9" t="n">
        <v>1112</v>
      </c>
      <c r="J58" s="9" t="n">
        <v>0</v>
      </c>
      <c r="K58" s="9" t="n">
        <v>500</v>
      </c>
      <c r="L58" s="9" t="n">
        <v>2</v>
      </c>
      <c r="M58" s="9" t="n">
        <v>0</v>
      </c>
      <c r="N58" s="9" t="n">
        <v>0</v>
      </c>
      <c r="O58" s="9" t="n">
        <v>500</v>
      </c>
      <c r="P58" s="9" t="n">
        <v>532</v>
      </c>
      <c r="Q58" s="9" t="n">
        <v>0</v>
      </c>
      <c r="R58" s="9" t="n">
        <v>500</v>
      </c>
      <c r="S58" s="9" t="n">
        <v>2</v>
      </c>
      <c r="T58" s="9" t="n">
        <v>147.000000000033</v>
      </c>
      <c r="U58" s="9" t="n">
        <f aca="false">H58-O58</f>
        <v>0</v>
      </c>
      <c r="V58" s="9" t="n">
        <f aca="false">H58-T58</f>
        <v>352.999999999967</v>
      </c>
    </row>
    <row r="59" customFormat="false" ht="15" hidden="false" customHeight="false" outlineLevel="0" collapsed="false">
      <c r="A59" s="8" t="s">
        <v>99</v>
      </c>
      <c r="B59" s="8" t="s">
        <v>124</v>
      </c>
      <c r="C59" s="8" t="s">
        <v>125</v>
      </c>
      <c r="D59" s="8" t="s">
        <v>81</v>
      </c>
      <c r="E59" s="8" t="s">
        <v>82</v>
      </c>
      <c r="F59" s="8" t="n">
        <v>1</v>
      </c>
      <c r="G59" s="8" t="s">
        <v>126</v>
      </c>
      <c r="H59" s="9" t="n">
        <v>500</v>
      </c>
      <c r="I59" s="9" t="n">
        <v>750</v>
      </c>
      <c r="J59" s="9" t="n">
        <v>0</v>
      </c>
      <c r="K59" s="9" t="n">
        <v>500</v>
      </c>
      <c r="L59" s="9" t="n">
        <v>2</v>
      </c>
      <c r="M59" s="9" t="n">
        <v>0</v>
      </c>
      <c r="N59" s="9" t="n">
        <v>0</v>
      </c>
      <c r="O59" s="9" t="n">
        <v>500</v>
      </c>
      <c r="P59" s="9" t="n">
        <v>527</v>
      </c>
      <c r="Q59" s="9" t="n">
        <v>0</v>
      </c>
      <c r="R59" s="9" t="n">
        <v>500</v>
      </c>
      <c r="S59" s="9" t="n">
        <v>2</v>
      </c>
      <c r="T59" s="9" t="n">
        <v>25</v>
      </c>
      <c r="U59" s="9" t="n">
        <f aca="false">H59-O59</f>
        <v>0</v>
      </c>
      <c r="V59" s="9" t="n">
        <f aca="false">H59-T59</f>
        <v>475</v>
      </c>
    </row>
    <row r="60" customFormat="false" ht="15" hidden="false" customHeight="false" outlineLevel="0" collapsed="false">
      <c r="A60" s="8" t="s">
        <v>99</v>
      </c>
      <c r="B60" s="8" t="s">
        <v>124</v>
      </c>
      <c r="C60" s="8" t="s">
        <v>125</v>
      </c>
      <c r="D60" s="8" t="s">
        <v>88</v>
      </c>
      <c r="E60" s="8" t="s">
        <v>82</v>
      </c>
      <c r="F60" s="8" t="n">
        <v>0</v>
      </c>
      <c r="G60" s="8" t="s">
        <v>126</v>
      </c>
      <c r="H60" s="9" t="n">
        <v>500</v>
      </c>
      <c r="I60" s="9" t="n">
        <v>1045</v>
      </c>
      <c r="J60" s="9" t="n">
        <v>0</v>
      </c>
      <c r="K60" s="9" t="n">
        <v>500</v>
      </c>
      <c r="L60" s="9" t="n">
        <v>2</v>
      </c>
      <c r="M60" s="9" t="n">
        <v>0</v>
      </c>
      <c r="N60" s="9" t="n">
        <v>0</v>
      </c>
      <c r="O60" s="9" t="n">
        <v>500</v>
      </c>
      <c r="P60" s="9" t="n">
        <v>532</v>
      </c>
      <c r="Q60" s="9" t="n">
        <v>0</v>
      </c>
      <c r="R60" s="9" t="n">
        <v>500</v>
      </c>
      <c r="S60" s="9" t="n">
        <v>2</v>
      </c>
      <c r="T60" s="9" t="n">
        <v>61</v>
      </c>
      <c r="U60" s="9" t="n">
        <f aca="false">H60-O60</f>
        <v>0</v>
      </c>
      <c r="V60" s="9" t="n">
        <f aca="false">H60-T60</f>
        <v>439</v>
      </c>
    </row>
    <row r="61" customFormat="false" ht="15" hidden="false" customHeight="false" outlineLevel="0" collapsed="false">
      <c r="A61" s="8" t="s">
        <v>99</v>
      </c>
      <c r="B61" s="8" t="s">
        <v>124</v>
      </c>
      <c r="C61" s="8" t="s">
        <v>125</v>
      </c>
      <c r="D61" s="8" t="s">
        <v>89</v>
      </c>
      <c r="E61" s="8" t="s">
        <v>82</v>
      </c>
      <c r="F61" s="8" t="n">
        <v>0</v>
      </c>
      <c r="G61" s="8" t="s">
        <v>126</v>
      </c>
      <c r="H61" s="9" t="n">
        <v>500</v>
      </c>
      <c r="I61" s="9" t="n">
        <v>1416</v>
      </c>
      <c r="J61" s="9" t="n">
        <v>0</v>
      </c>
      <c r="K61" s="9" t="n">
        <v>500</v>
      </c>
      <c r="L61" s="9" t="n">
        <v>2</v>
      </c>
      <c r="M61" s="9" t="n">
        <v>0</v>
      </c>
      <c r="N61" s="9" t="n">
        <v>0</v>
      </c>
      <c r="O61" s="9" t="n">
        <v>500</v>
      </c>
      <c r="P61" s="9" t="n">
        <v>489</v>
      </c>
      <c r="Q61" s="9" t="n">
        <v>0</v>
      </c>
      <c r="R61" s="9" t="n">
        <v>500</v>
      </c>
      <c r="S61" s="9" t="n">
        <v>2</v>
      </c>
      <c r="T61" s="9" t="n">
        <v>365</v>
      </c>
      <c r="U61" s="9" t="n">
        <f aca="false">H61-O61</f>
        <v>0</v>
      </c>
      <c r="V61" s="9" t="n">
        <f aca="false">H61-T61</f>
        <v>135</v>
      </c>
    </row>
    <row r="62" customFormat="false" ht="15" hidden="false" customHeight="false" outlineLevel="0" collapsed="false">
      <c r="A62" s="8" t="s">
        <v>99</v>
      </c>
      <c r="B62" s="8" t="s">
        <v>127</v>
      </c>
      <c r="C62" s="8" t="s">
        <v>128</v>
      </c>
      <c r="D62" s="8" t="s">
        <v>85</v>
      </c>
      <c r="E62" s="8" t="s">
        <v>86</v>
      </c>
      <c r="F62" s="8" t="n">
        <v>0</v>
      </c>
      <c r="G62" s="8" t="s">
        <v>126</v>
      </c>
      <c r="H62" s="9" t="n">
        <v>983</v>
      </c>
      <c r="I62" s="9" t="n">
        <v>983</v>
      </c>
      <c r="J62" s="9" t="n">
        <v>0</v>
      </c>
      <c r="K62" s="9" t="n">
        <v>0</v>
      </c>
      <c r="L62" s="9" t="n">
        <v>2</v>
      </c>
      <c r="M62" s="9" t="n">
        <v>49</v>
      </c>
      <c r="N62" s="9" t="n">
        <v>0</v>
      </c>
      <c r="O62" s="9" t="n">
        <v>983</v>
      </c>
      <c r="P62" s="9" t="n">
        <v>983</v>
      </c>
      <c r="Q62" s="9" t="n">
        <v>0</v>
      </c>
      <c r="R62" s="9" t="n">
        <v>0</v>
      </c>
      <c r="S62" s="9" t="n">
        <v>2</v>
      </c>
      <c r="T62" s="9" t="n">
        <v>0</v>
      </c>
      <c r="U62" s="9" t="n">
        <f aca="false">H62-O62</f>
        <v>0</v>
      </c>
      <c r="V62" s="9" t="n">
        <f aca="false">H62-T62</f>
        <v>983</v>
      </c>
    </row>
    <row r="63" customFormat="false" ht="15" hidden="false" customHeight="false" outlineLevel="0" collapsed="false">
      <c r="A63" s="8" t="s">
        <v>99</v>
      </c>
      <c r="B63" s="8" t="s">
        <v>127</v>
      </c>
      <c r="C63" s="8" t="s">
        <v>128</v>
      </c>
      <c r="D63" s="8" t="s">
        <v>87</v>
      </c>
      <c r="E63" s="8" t="s">
        <v>72</v>
      </c>
      <c r="F63" s="8" t="n">
        <v>0</v>
      </c>
      <c r="G63" s="8" t="s">
        <v>126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2</v>
      </c>
      <c r="M63" s="9" t="n">
        <v>0</v>
      </c>
      <c r="N63" s="9" t="n">
        <v>0</v>
      </c>
      <c r="O63" s="9" t="n">
        <v>96</v>
      </c>
      <c r="P63" s="9" t="n">
        <v>358</v>
      </c>
      <c r="Q63" s="9" t="n">
        <v>0</v>
      </c>
      <c r="R63" s="9" t="n">
        <v>0</v>
      </c>
      <c r="S63" s="9" t="n">
        <v>2</v>
      </c>
      <c r="T63" s="9" t="n">
        <v>0</v>
      </c>
      <c r="U63" s="9" t="n">
        <f aca="false">H63-O63</f>
        <v>-96</v>
      </c>
      <c r="V63" s="9" t="n">
        <f aca="false">H63-T63</f>
        <v>0</v>
      </c>
    </row>
    <row r="64" customFormat="false" ht="15" hidden="false" customHeight="false" outlineLevel="0" collapsed="false">
      <c r="A64" s="8" t="s">
        <v>99</v>
      </c>
      <c r="B64" s="8" t="s">
        <v>127</v>
      </c>
      <c r="C64" s="8" t="s">
        <v>128</v>
      </c>
      <c r="D64" s="8" t="s">
        <v>71</v>
      </c>
      <c r="E64" s="8" t="s">
        <v>72</v>
      </c>
      <c r="F64" s="8" t="n">
        <v>1</v>
      </c>
      <c r="G64" s="8" t="s">
        <v>126</v>
      </c>
      <c r="H64" s="9" t="n">
        <v>212</v>
      </c>
      <c r="I64" s="9" t="n">
        <v>0</v>
      </c>
      <c r="J64" s="9" t="n">
        <v>0</v>
      </c>
      <c r="K64" s="9" t="n">
        <v>0</v>
      </c>
      <c r="L64" s="9" t="n">
        <v>2</v>
      </c>
      <c r="M64" s="9" t="n">
        <v>0</v>
      </c>
      <c r="N64" s="9" t="n">
        <v>0</v>
      </c>
      <c r="O64" s="9" t="n">
        <v>212</v>
      </c>
      <c r="P64" s="9" t="n">
        <v>716</v>
      </c>
      <c r="Q64" s="9" t="n">
        <v>0</v>
      </c>
      <c r="R64" s="9" t="n">
        <v>0</v>
      </c>
      <c r="S64" s="9" t="n">
        <v>2</v>
      </c>
      <c r="T64" s="9" t="n">
        <v>0</v>
      </c>
      <c r="U64" s="9" t="n">
        <f aca="false">H64-O64</f>
        <v>0</v>
      </c>
      <c r="V64" s="9" t="n">
        <f aca="false">H64-T64</f>
        <v>212</v>
      </c>
    </row>
    <row r="65" customFormat="false" ht="15" hidden="false" customHeight="false" outlineLevel="0" collapsed="false">
      <c r="A65" s="8" t="s">
        <v>99</v>
      </c>
      <c r="B65" s="8" t="s">
        <v>127</v>
      </c>
      <c r="C65" s="8" t="s">
        <v>128</v>
      </c>
      <c r="D65" s="8" t="s">
        <v>73</v>
      </c>
      <c r="E65" s="8" t="s">
        <v>74</v>
      </c>
      <c r="F65" s="8" t="n">
        <v>1</v>
      </c>
      <c r="G65" s="8" t="s">
        <v>126</v>
      </c>
      <c r="H65" s="9" t="n">
        <v>217</v>
      </c>
      <c r="I65" s="9" t="n">
        <v>0</v>
      </c>
      <c r="J65" s="9" t="n">
        <v>0</v>
      </c>
      <c r="K65" s="9" t="n">
        <v>0</v>
      </c>
      <c r="L65" s="9" t="n">
        <v>2</v>
      </c>
      <c r="M65" s="9" t="n">
        <v>0</v>
      </c>
      <c r="N65" s="9" t="n">
        <v>0</v>
      </c>
      <c r="O65" s="9" t="n">
        <v>217</v>
      </c>
      <c r="P65" s="9" t="n">
        <v>740</v>
      </c>
      <c r="Q65" s="9" t="n">
        <v>0</v>
      </c>
      <c r="R65" s="9" t="n">
        <v>0</v>
      </c>
      <c r="S65" s="9" t="n">
        <v>2</v>
      </c>
      <c r="T65" s="9" t="n">
        <v>0</v>
      </c>
      <c r="U65" s="9" t="n">
        <f aca="false">H65-O65</f>
        <v>0</v>
      </c>
      <c r="V65" s="9" t="n">
        <f aca="false">H65-T65</f>
        <v>217</v>
      </c>
    </row>
    <row r="66" customFormat="false" ht="15" hidden="false" customHeight="false" outlineLevel="0" collapsed="false">
      <c r="A66" s="8" t="s">
        <v>99</v>
      </c>
      <c r="B66" s="8" t="s">
        <v>127</v>
      </c>
      <c r="C66" s="8" t="s">
        <v>128</v>
      </c>
      <c r="D66" s="8" t="s">
        <v>75</v>
      </c>
      <c r="E66" s="8" t="s">
        <v>74</v>
      </c>
      <c r="F66" s="8" t="n">
        <v>1</v>
      </c>
      <c r="G66" s="8" t="s">
        <v>126</v>
      </c>
      <c r="H66" s="9" t="n">
        <v>212</v>
      </c>
      <c r="I66" s="9" t="n">
        <v>0</v>
      </c>
      <c r="J66" s="9" t="n">
        <v>0</v>
      </c>
      <c r="K66" s="9" t="n">
        <v>0</v>
      </c>
      <c r="L66" s="9" t="n">
        <v>2</v>
      </c>
      <c r="M66" s="9" t="n">
        <v>0</v>
      </c>
      <c r="N66" s="9" t="n">
        <v>0</v>
      </c>
      <c r="O66" s="9" t="n">
        <v>212</v>
      </c>
      <c r="P66" s="9" t="n">
        <v>716</v>
      </c>
      <c r="Q66" s="9" t="n">
        <v>0</v>
      </c>
      <c r="R66" s="9" t="n">
        <v>0</v>
      </c>
      <c r="S66" s="9" t="n">
        <v>2</v>
      </c>
      <c r="T66" s="9" t="n">
        <v>0</v>
      </c>
      <c r="U66" s="9" t="n">
        <f aca="false">H66-O66</f>
        <v>0</v>
      </c>
      <c r="V66" s="9" t="n">
        <f aca="false">H66-T66</f>
        <v>212</v>
      </c>
    </row>
    <row r="67" customFormat="false" ht="15" hidden="false" customHeight="false" outlineLevel="0" collapsed="false">
      <c r="A67" s="8" t="s">
        <v>99</v>
      </c>
      <c r="B67" s="8" t="s">
        <v>127</v>
      </c>
      <c r="C67" s="8" t="s">
        <v>128</v>
      </c>
      <c r="D67" s="8" t="s">
        <v>76</v>
      </c>
      <c r="E67" s="8" t="s">
        <v>74</v>
      </c>
      <c r="F67" s="8" t="n">
        <v>1</v>
      </c>
      <c r="G67" s="8" t="s">
        <v>126</v>
      </c>
      <c r="H67" s="9" t="n">
        <v>194</v>
      </c>
      <c r="I67" s="9" t="n">
        <v>0</v>
      </c>
      <c r="J67" s="9" t="n">
        <v>0</v>
      </c>
      <c r="K67" s="9" t="n">
        <v>0</v>
      </c>
      <c r="L67" s="9" t="n">
        <v>2</v>
      </c>
      <c r="M67" s="9" t="n">
        <v>0</v>
      </c>
      <c r="N67" s="9" t="n">
        <v>0</v>
      </c>
      <c r="O67" s="9" t="n">
        <v>194</v>
      </c>
      <c r="P67" s="9" t="n">
        <v>740</v>
      </c>
      <c r="Q67" s="9" t="n">
        <v>0</v>
      </c>
      <c r="R67" s="9" t="n">
        <v>0</v>
      </c>
      <c r="S67" s="9" t="n">
        <v>2</v>
      </c>
      <c r="T67" s="9" t="n">
        <v>0</v>
      </c>
      <c r="U67" s="9" t="n">
        <f aca="false">H67-O67</f>
        <v>0</v>
      </c>
      <c r="V67" s="9" t="n">
        <f aca="false">H67-T67</f>
        <v>194</v>
      </c>
    </row>
    <row r="68" customFormat="false" ht="15" hidden="false" customHeight="false" outlineLevel="0" collapsed="false">
      <c r="A68" s="8" t="s">
        <v>99</v>
      </c>
      <c r="B68" s="8" t="s">
        <v>127</v>
      </c>
      <c r="C68" s="8" t="s">
        <v>128</v>
      </c>
      <c r="D68" s="8" t="s">
        <v>77</v>
      </c>
      <c r="E68" s="8" t="s">
        <v>78</v>
      </c>
      <c r="F68" s="8" t="n">
        <v>1</v>
      </c>
      <c r="G68" s="8" t="s">
        <v>126</v>
      </c>
      <c r="H68" s="9" t="n">
        <v>194</v>
      </c>
      <c r="I68" s="9" t="n">
        <v>0</v>
      </c>
      <c r="J68" s="9" t="n">
        <v>0</v>
      </c>
      <c r="K68" s="9" t="n">
        <v>0</v>
      </c>
      <c r="L68" s="9" t="n">
        <v>2</v>
      </c>
      <c r="M68" s="9" t="n">
        <v>0</v>
      </c>
      <c r="N68" s="9" t="n">
        <v>0</v>
      </c>
      <c r="O68" s="9" t="n">
        <v>194</v>
      </c>
      <c r="P68" s="9" t="n">
        <v>740</v>
      </c>
      <c r="Q68" s="9" t="n">
        <v>0</v>
      </c>
      <c r="R68" s="9" t="n">
        <v>0</v>
      </c>
      <c r="S68" s="9" t="n">
        <v>2</v>
      </c>
      <c r="T68" s="9" t="n">
        <v>0</v>
      </c>
      <c r="U68" s="9" t="n">
        <f aca="false">H68-O68</f>
        <v>0</v>
      </c>
      <c r="V68" s="9" t="n">
        <f aca="false">H68-T68</f>
        <v>194</v>
      </c>
    </row>
    <row r="69" customFormat="false" ht="15" hidden="false" customHeight="false" outlineLevel="0" collapsed="false">
      <c r="A69" s="8" t="s">
        <v>99</v>
      </c>
      <c r="B69" s="8" t="s">
        <v>127</v>
      </c>
      <c r="C69" s="8" t="s">
        <v>128</v>
      </c>
      <c r="D69" s="8" t="s">
        <v>79</v>
      </c>
      <c r="E69" s="8" t="s">
        <v>78</v>
      </c>
      <c r="F69" s="8" t="n">
        <v>1</v>
      </c>
      <c r="G69" s="8" t="s">
        <v>126</v>
      </c>
      <c r="H69" s="9" t="n">
        <v>200</v>
      </c>
      <c r="I69" s="9" t="n">
        <v>0</v>
      </c>
      <c r="J69" s="9" t="n">
        <v>0</v>
      </c>
      <c r="K69" s="9" t="n">
        <v>0</v>
      </c>
      <c r="L69" s="9" t="n">
        <v>2</v>
      </c>
      <c r="M69" s="9" t="n">
        <v>0</v>
      </c>
      <c r="N69" s="9" t="n">
        <v>0</v>
      </c>
      <c r="O69" s="9" t="n">
        <v>200</v>
      </c>
      <c r="P69" s="9" t="n">
        <v>668</v>
      </c>
      <c r="Q69" s="9" t="n">
        <v>0</v>
      </c>
      <c r="R69" s="9" t="n">
        <v>0</v>
      </c>
      <c r="S69" s="9" t="n">
        <v>2</v>
      </c>
      <c r="T69" s="9" t="n">
        <v>0</v>
      </c>
      <c r="U69" s="9" t="n">
        <f aca="false">H69-O69</f>
        <v>0</v>
      </c>
      <c r="V69" s="9" t="n">
        <f aca="false">H69-T69</f>
        <v>200</v>
      </c>
    </row>
    <row r="70" customFormat="false" ht="15" hidden="false" customHeight="false" outlineLevel="0" collapsed="false">
      <c r="A70" s="8" t="s">
        <v>99</v>
      </c>
      <c r="B70" s="8" t="s">
        <v>127</v>
      </c>
      <c r="C70" s="8" t="s">
        <v>128</v>
      </c>
      <c r="D70" s="8" t="s">
        <v>80</v>
      </c>
      <c r="E70" s="8" t="s">
        <v>78</v>
      </c>
      <c r="F70" s="8" t="n">
        <v>1</v>
      </c>
      <c r="G70" s="8" t="s">
        <v>126</v>
      </c>
      <c r="H70" s="9" t="n">
        <v>49</v>
      </c>
      <c r="I70" s="9" t="n">
        <v>0</v>
      </c>
      <c r="J70" s="9" t="n">
        <v>0</v>
      </c>
      <c r="K70" s="9" t="n">
        <v>0</v>
      </c>
      <c r="L70" s="9" t="n">
        <v>2</v>
      </c>
      <c r="M70" s="9" t="n">
        <v>0</v>
      </c>
      <c r="N70" s="9" t="n">
        <v>0</v>
      </c>
      <c r="O70" s="9" t="n">
        <v>49</v>
      </c>
      <c r="P70" s="9" t="n">
        <v>740</v>
      </c>
      <c r="Q70" s="9" t="n">
        <v>0</v>
      </c>
      <c r="R70" s="9" t="n">
        <v>0</v>
      </c>
      <c r="S70" s="9" t="n">
        <v>2</v>
      </c>
      <c r="T70" s="9" t="n">
        <v>0</v>
      </c>
      <c r="U70" s="9" t="n">
        <f aca="false">H70-O70</f>
        <v>0</v>
      </c>
      <c r="V70" s="9" t="n">
        <f aca="false">H70-T70</f>
        <v>49</v>
      </c>
    </row>
    <row r="71" customFormat="false" ht="15" hidden="false" customHeight="false" outlineLevel="0" collapsed="false">
      <c r="A71" s="8" t="s">
        <v>99</v>
      </c>
      <c r="B71" s="8" t="s">
        <v>127</v>
      </c>
      <c r="C71" s="8" t="s">
        <v>128</v>
      </c>
      <c r="D71" s="8" t="s">
        <v>81</v>
      </c>
      <c r="E71" s="8" t="s">
        <v>82</v>
      </c>
      <c r="F71" s="8" t="n">
        <v>1</v>
      </c>
      <c r="G71" s="8" t="s">
        <v>126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2</v>
      </c>
      <c r="M71" s="9" t="n">
        <v>0</v>
      </c>
      <c r="N71" s="9" t="n">
        <v>0</v>
      </c>
      <c r="O71" s="9" t="n">
        <v>0</v>
      </c>
      <c r="P71" s="9" t="n">
        <v>717</v>
      </c>
      <c r="Q71" s="9" t="n">
        <v>0</v>
      </c>
      <c r="R71" s="9" t="n">
        <v>0</v>
      </c>
      <c r="S71" s="9" t="n">
        <v>2</v>
      </c>
      <c r="T71" s="9" t="n">
        <v>320</v>
      </c>
      <c r="U71" s="9" t="n">
        <f aca="false">H71-O71</f>
        <v>0</v>
      </c>
      <c r="V71" s="9" t="n">
        <f aca="false">H71-T71</f>
        <v>-320</v>
      </c>
    </row>
    <row r="72" customFormat="false" ht="15" hidden="false" customHeight="false" outlineLevel="0" collapsed="false">
      <c r="A72" s="8" t="s">
        <v>99</v>
      </c>
      <c r="B72" s="8" t="s">
        <v>127</v>
      </c>
      <c r="C72" s="8" t="s">
        <v>128</v>
      </c>
      <c r="D72" s="8" t="s">
        <v>88</v>
      </c>
      <c r="E72" s="8" t="s">
        <v>82</v>
      </c>
      <c r="F72" s="8" t="n">
        <v>0</v>
      </c>
      <c r="G72" s="8" t="s">
        <v>126</v>
      </c>
      <c r="H72" s="9" t="n">
        <v>0</v>
      </c>
      <c r="I72" s="9" t="n">
        <v>0</v>
      </c>
      <c r="J72" s="9" t="n">
        <v>0</v>
      </c>
      <c r="K72" s="9" t="n">
        <v>0</v>
      </c>
      <c r="L72" s="9" t="n">
        <v>2</v>
      </c>
      <c r="M72" s="9" t="n">
        <v>0</v>
      </c>
      <c r="N72" s="9" t="n">
        <v>0</v>
      </c>
      <c r="O72" s="9" t="n">
        <v>0</v>
      </c>
      <c r="P72" s="9" t="n">
        <v>430</v>
      </c>
      <c r="Q72" s="9" t="n">
        <v>0</v>
      </c>
      <c r="R72" s="9" t="n">
        <v>0</v>
      </c>
      <c r="S72" s="9" t="n">
        <v>2</v>
      </c>
      <c r="T72" s="9" t="n">
        <v>324</v>
      </c>
      <c r="U72" s="9" t="n">
        <f aca="false">H72-O72</f>
        <v>0</v>
      </c>
      <c r="V72" s="9" t="n">
        <f aca="false">H72-T72</f>
        <v>-324</v>
      </c>
    </row>
    <row r="73" customFormat="false" ht="15" hidden="false" customHeight="false" outlineLevel="0" collapsed="false">
      <c r="A73" s="8" t="s">
        <v>99</v>
      </c>
      <c r="B73" s="8" t="s">
        <v>127</v>
      </c>
      <c r="C73" s="8" t="s">
        <v>128</v>
      </c>
      <c r="D73" s="8" t="s">
        <v>89</v>
      </c>
      <c r="E73" s="8" t="s">
        <v>82</v>
      </c>
      <c r="F73" s="8" t="n">
        <v>0</v>
      </c>
      <c r="G73" s="8" t="s">
        <v>126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2</v>
      </c>
      <c r="M73" s="9" t="n">
        <v>0</v>
      </c>
      <c r="N73" s="9" t="n">
        <v>0</v>
      </c>
      <c r="O73" s="9" t="n">
        <v>77</v>
      </c>
      <c r="P73" s="9" t="n">
        <v>433</v>
      </c>
      <c r="Q73" s="9" t="n">
        <v>0</v>
      </c>
      <c r="R73" s="9" t="n">
        <v>77</v>
      </c>
      <c r="S73" s="9" t="n">
        <v>2</v>
      </c>
      <c r="T73" s="9" t="n">
        <v>0</v>
      </c>
      <c r="U73" s="9" t="n">
        <f aca="false">H73-O73</f>
        <v>-77</v>
      </c>
      <c r="V73" s="9" t="n">
        <f aca="false">H73-T73</f>
        <v>0</v>
      </c>
    </row>
    <row r="74" customFormat="false" ht="15" hidden="false" customHeight="false" outlineLevel="0" collapsed="false">
      <c r="A74" s="8" t="s">
        <v>99</v>
      </c>
      <c r="B74" s="8" t="s">
        <v>129</v>
      </c>
      <c r="C74" s="8" t="s">
        <v>130</v>
      </c>
      <c r="D74" s="8" t="s">
        <v>85</v>
      </c>
      <c r="E74" s="8" t="s">
        <v>86</v>
      </c>
      <c r="F74" s="8" t="n">
        <v>0</v>
      </c>
      <c r="G74" s="8" t="s">
        <v>126</v>
      </c>
      <c r="H74" s="9" t="n">
        <v>1</v>
      </c>
      <c r="I74" s="9" t="n">
        <v>1</v>
      </c>
      <c r="J74" s="9" t="n">
        <v>0</v>
      </c>
      <c r="K74" s="9" t="n">
        <v>-888</v>
      </c>
      <c r="L74" s="9" t="n">
        <v>2</v>
      </c>
      <c r="M74" s="9" t="n">
        <v>173</v>
      </c>
      <c r="N74" s="9" t="n">
        <v>0</v>
      </c>
      <c r="O74" s="9" t="n">
        <v>1</v>
      </c>
      <c r="P74" s="9" t="n">
        <v>1</v>
      </c>
      <c r="Q74" s="9" t="n">
        <v>0</v>
      </c>
      <c r="R74" s="9" t="n">
        <v>-888</v>
      </c>
      <c r="S74" s="9" t="n">
        <v>2</v>
      </c>
      <c r="T74" s="9" t="n">
        <v>0</v>
      </c>
      <c r="U74" s="9" t="n">
        <f aca="false">H74-O74</f>
        <v>0</v>
      </c>
      <c r="V74" s="9" t="n">
        <f aca="false">H74-T74</f>
        <v>1</v>
      </c>
    </row>
    <row r="75" customFormat="false" ht="15" hidden="false" customHeight="false" outlineLevel="0" collapsed="false">
      <c r="A75" s="8" t="s">
        <v>99</v>
      </c>
      <c r="B75" s="8" t="s">
        <v>129</v>
      </c>
      <c r="C75" s="8" t="s">
        <v>130</v>
      </c>
      <c r="D75" s="8" t="s">
        <v>87</v>
      </c>
      <c r="E75" s="8" t="s">
        <v>72</v>
      </c>
      <c r="F75" s="8" t="n">
        <v>0</v>
      </c>
      <c r="G75" s="8" t="s">
        <v>126</v>
      </c>
      <c r="H75" s="9" t="n">
        <v>13</v>
      </c>
      <c r="I75" s="9" t="n">
        <v>13</v>
      </c>
      <c r="J75" s="9" t="n">
        <v>0</v>
      </c>
      <c r="K75" s="9" t="n">
        <v>-1089</v>
      </c>
      <c r="L75" s="9" t="n">
        <v>2</v>
      </c>
      <c r="M75" s="9" t="n">
        <v>0</v>
      </c>
      <c r="N75" s="9" t="n">
        <v>0</v>
      </c>
      <c r="O75" s="9" t="n">
        <v>89</v>
      </c>
      <c r="P75" s="9" t="n">
        <v>109</v>
      </c>
      <c r="Q75" s="9" t="n">
        <v>0</v>
      </c>
      <c r="R75" s="9" t="n">
        <v>-1089</v>
      </c>
      <c r="S75" s="9" t="n">
        <v>2</v>
      </c>
      <c r="T75" s="9" t="n">
        <v>0</v>
      </c>
      <c r="U75" s="9" t="n">
        <f aca="false">H75-O75</f>
        <v>-76</v>
      </c>
      <c r="V75" s="9" t="n">
        <f aca="false">H75-T75</f>
        <v>13</v>
      </c>
    </row>
    <row r="76" customFormat="false" ht="15" hidden="false" customHeight="false" outlineLevel="0" collapsed="false">
      <c r="A76" s="8" t="s">
        <v>99</v>
      </c>
      <c r="B76" s="8" t="s">
        <v>129</v>
      </c>
      <c r="C76" s="8" t="s">
        <v>130</v>
      </c>
      <c r="D76" s="8" t="s">
        <v>71</v>
      </c>
      <c r="E76" s="8" t="s">
        <v>72</v>
      </c>
      <c r="F76" s="8" t="n">
        <v>1</v>
      </c>
      <c r="G76" s="8" t="s">
        <v>126</v>
      </c>
      <c r="H76" s="9" t="n">
        <v>193</v>
      </c>
      <c r="I76" s="9" t="n">
        <v>4</v>
      </c>
      <c r="J76" s="9" t="n">
        <v>0</v>
      </c>
      <c r="K76" s="9" t="n">
        <v>-1081</v>
      </c>
      <c r="L76" s="9" t="n">
        <v>2</v>
      </c>
      <c r="M76" s="9" t="n">
        <v>0</v>
      </c>
      <c r="N76" s="9" t="n">
        <v>0</v>
      </c>
      <c r="O76" s="9" t="n">
        <v>193</v>
      </c>
      <c r="P76" s="9" t="n">
        <v>213</v>
      </c>
      <c r="Q76" s="9" t="n">
        <v>0</v>
      </c>
      <c r="R76" s="9" t="n">
        <v>-1081</v>
      </c>
      <c r="S76" s="9" t="n">
        <v>2</v>
      </c>
      <c r="T76" s="9" t="n">
        <v>0</v>
      </c>
      <c r="U76" s="9" t="n">
        <f aca="false">H76-O76</f>
        <v>0</v>
      </c>
      <c r="V76" s="9" t="n">
        <f aca="false">H76-T76</f>
        <v>193</v>
      </c>
    </row>
    <row r="77" customFormat="false" ht="15" hidden="false" customHeight="false" outlineLevel="0" collapsed="false">
      <c r="A77" s="8" t="s">
        <v>99</v>
      </c>
      <c r="B77" s="8" t="s">
        <v>129</v>
      </c>
      <c r="C77" s="8" t="s">
        <v>130</v>
      </c>
      <c r="D77" s="8" t="s">
        <v>73</v>
      </c>
      <c r="E77" s="8" t="s">
        <v>74</v>
      </c>
      <c r="F77" s="8" t="n">
        <v>1</v>
      </c>
      <c r="G77" s="8" t="s">
        <v>126</v>
      </c>
      <c r="H77" s="9" t="n">
        <v>179</v>
      </c>
      <c r="I77" s="9" t="n">
        <v>0</v>
      </c>
      <c r="J77" s="9" t="n">
        <v>0</v>
      </c>
      <c r="K77" s="9" t="n">
        <v>-1139</v>
      </c>
      <c r="L77" s="9" t="n">
        <v>2</v>
      </c>
      <c r="M77" s="9" t="n">
        <v>0</v>
      </c>
      <c r="N77" s="9" t="n">
        <v>0</v>
      </c>
      <c r="O77" s="9" t="n">
        <v>179</v>
      </c>
      <c r="P77" s="9" t="n">
        <v>213</v>
      </c>
      <c r="Q77" s="9" t="n">
        <v>0</v>
      </c>
      <c r="R77" s="9" t="n">
        <v>-1139</v>
      </c>
      <c r="S77" s="9" t="n">
        <v>2</v>
      </c>
      <c r="T77" s="9" t="n">
        <v>0</v>
      </c>
      <c r="U77" s="9" t="n">
        <f aca="false">H77-O77</f>
        <v>0</v>
      </c>
      <c r="V77" s="9" t="n">
        <f aca="false">H77-T77</f>
        <v>179</v>
      </c>
    </row>
    <row r="78" customFormat="false" ht="15" hidden="false" customHeight="false" outlineLevel="0" collapsed="false">
      <c r="A78" s="8" t="s">
        <v>99</v>
      </c>
      <c r="B78" s="8" t="s">
        <v>129</v>
      </c>
      <c r="C78" s="8" t="s">
        <v>130</v>
      </c>
      <c r="D78" s="8" t="s">
        <v>75</v>
      </c>
      <c r="E78" s="8" t="s">
        <v>74</v>
      </c>
      <c r="F78" s="8" t="n">
        <v>1</v>
      </c>
      <c r="G78" s="8" t="s">
        <v>126</v>
      </c>
      <c r="H78" s="9" t="n">
        <v>266</v>
      </c>
      <c r="I78" s="9" t="n">
        <v>4</v>
      </c>
      <c r="J78" s="9" t="n">
        <v>0</v>
      </c>
      <c r="K78" s="9" t="n">
        <v>-1322</v>
      </c>
      <c r="L78" s="9" t="n">
        <v>2</v>
      </c>
      <c r="M78" s="9" t="n">
        <v>0</v>
      </c>
      <c r="N78" s="9" t="n">
        <v>0</v>
      </c>
      <c r="O78" s="9" t="n">
        <v>266</v>
      </c>
      <c r="P78" s="9" t="n">
        <v>214</v>
      </c>
      <c r="Q78" s="9" t="n">
        <v>0</v>
      </c>
      <c r="R78" s="9" t="n">
        <v>-1322</v>
      </c>
      <c r="S78" s="9" t="n">
        <v>2</v>
      </c>
      <c r="T78" s="9" t="n">
        <v>0</v>
      </c>
      <c r="U78" s="9" t="n">
        <f aca="false">H78-O78</f>
        <v>0</v>
      </c>
      <c r="V78" s="9" t="n">
        <f aca="false">H78-T78</f>
        <v>266</v>
      </c>
    </row>
    <row r="79" customFormat="false" ht="15" hidden="false" customHeight="false" outlineLevel="0" collapsed="false">
      <c r="A79" s="8" t="s">
        <v>99</v>
      </c>
      <c r="B79" s="8" t="s">
        <v>129</v>
      </c>
      <c r="C79" s="8" t="s">
        <v>130</v>
      </c>
      <c r="D79" s="8" t="s">
        <v>76</v>
      </c>
      <c r="E79" s="8" t="s">
        <v>74</v>
      </c>
      <c r="F79" s="8" t="n">
        <v>1</v>
      </c>
      <c r="G79" s="8" t="s">
        <v>126</v>
      </c>
      <c r="H79" s="9" t="n">
        <v>160</v>
      </c>
      <c r="I79" s="9" t="n">
        <v>4</v>
      </c>
      <c r="J79" s="9" t="n">
        <v>0</v>
      </c>
      <c r="K79" s="9" t="n">
        <v>-1086</v>
      </c>
      <c r="L79" s="9" t="n">
        <v>2</v>
      </c>
      <c r="M79" s="9" t="n">
        <v>0</v>
      </c>
      <c r="N79" s="9" t="n">
        <v>0</v>
      </c>
      <c r="O79" s="9" t="n">
        <v>160</v>
      </c>
      <c r="P79" s="9" t="n">
        <v>213</v>
      </c>
      <c r="Q79" s="9" t="n">
        <v>0</v>
      </c>
      <c r="R79" s="9" t="n">
        <v>-1086</v>
      </c>
      <c r="S79" s="9" t="n">
        <v>2</v>
      </c>
      <c r="T79" s="9" t="n">
        <v>0</v>
      </c>
      <c r="U79" s="9" t="n">
        <f aca="false">H79-O79</f>
        <v>0</v>
      </c>
      <c r="V79" s="9" t="n">
        <f aca="false">H79-T79</f>
        <v>160</v>
      </c>
    </row>
    <row r="80" customFormat="false" ht="15" hidden="false" customHeight="false" outlineLevel="0" collapsed="false">
      <c r="A80" s="8" t="s">
        <v>99</v>
      </c>
      <c r="B80" s="8" t="s">
        <v>129</v>
      </c>
      <c r="C80" s="8" t="s">
        <v>130</v>
      </c>
      <c r="D80" s="8" t="s">
        <v>77</v>
      </c>
      <c r="E80" s="8" t="s">
        <v>78</v>
      </c>
      <c r="F80" s="8" t="n">
        <v>1</v>
      </c>
      <c r="G80" s="8" t="s">
        <v>126</v>
      </c>
      <c r="H80" s="9" t="n">
        <v>167</v>
      </c>
      <c r="I80" s="9" t="n">
        <v>5</v>
      </c>
      <c r="J80" s="9" t="n">
        <v>0</v>
      </c>
      <c r="K80" s="9" t="n">
        <v>-322</v>
      </c>
      <c r="L80" s="9" t="n">
        <v>2</v>
      </c>
      <c r="M80" s="9" t="n">
        <v>0</v>
      </c>
      <c r="N80" s="9" t="n">
        <v>0</v>
      </c>
      <c r="O80" s="9" t="n">
        <v>167</v>
      </c>
      <c r="P80" s="9" t="n">
        <v>212</v>
      </c>
      <c r="Q80" s="9" t="n">
        <v>0</v>
      </c>
      <c r="R80" s="9" t="n">
        <v>-322</v>
      </c>
      <c r="S80" s="9" t="n">
        <v>2</v>
      </c>
      <c r="T80" s="9" t="n">
        <v>0</v>
      </c>
      <c r="U80" s="9" t="n">
        <f aca="false">H80-O80</f>
        <v>0</v>
      </c>
      <c r="V80" s="9" t="n">
        <f aca="false">H80-T80</f>
        <v>167</v>
      </c>
    </row>
    <row r="81" customFormat="false" ht="15" hidden="false" customHeight="false" outlineLevel="0" collapsed="false">
      <c r="A81" s="8" t="s">
        <v>99</v>
      </c>
      <c r="B81" s="8" t="s">
        <v>129</v>
      </c>
      <c r="C81" s="8" t="s">
        <v>130</v>
      </c>
      <c r="D81" s="8" t="s">
        <v>79</v>
      </c>
      <c r="E81" s="8" t="s">
        <v>78</v>
      </c>
      <c r="F81" s="8" t="n">
        <v>1</v>
      </c>
      <c r="G81" s="8" t="s">
        <v>126</v>
      </c>
      <c r="H81" s="9" t="n">
        <v>150</v>
      </c>
      <c r="I81" s="9" t="n">
        <v>4</v>
      </c>
      <c r="J81" s="9" t="n">
        <v>0</v>
      </c>
      <c r="K81" s="9" t="n">
        <v>150</v>
      </c>
      <c r="L81" s="9" t="n">
        <v>2</v>
      </c>
      <c r="M81" s="9" t="n">
        <v>0</v>
      </c>
      <c r="N81" s="9" t="n">
        <v>0</v>
      </c>
      <c r="O81" s="9" t="n">
        <v>150</v>
      </c>
      <c r="P81" s="9" t="n">
        <v>216</v>
      </c>
      <c r="Q81" s="9" t="n">
        <v>0</v>
      </c>
      <c r="R81" s="9" t="n">
        <v>150</v>
      </c>
      <c r="S81" s="9" t="n">
        <v>2</v>
      </c>
      <c r="T81" s="9" t="n">
        <v>9563</v>
      </c>
      <c r="U81" s="9" t="n">
        <f aca="false">H81-O81</f>
        <v>0</v>
      </c>
      <c r="V81" s="9" t="n">
        <f aca="false">H81-T81</f>
        <v>-9413</v>
      </c>
    </row>
    <row r="82" customFormat="false" ht="15" hidden="false" customHeight="false" outlineLevel="0" collapsed="false">
      <c r="A82" s="8" t="s">
        <v>99</v>
      </c>
      <c r="B82" s="8" t="s">
        <v>129</v>
      </c>
      <c r="C82" s="8" t="s">
        <v>130</v>
      </c>
      <c r="D82" s="8" t="s">
        <v>80</v>
      </c>
      <c r="E82" s="8" t="s">
        <v>78</v>
      </c>
      <c r="F82" s="8" t="n">
        <v>1</v>
      </c>
      <c r="G82" s="8" t="s">
        <v>126</v>
      </c>
      <c r="H82" s="9" t="n">
        <v>150</v>
      </c>
      <c r="I82" s="9" t="n">
        <v>4</v>
      </c>
      <c r="J82" s="9" t="n">
        <v>0</v>
      </c>
      <c r="K82" s="9" t="n">
        <v>150</v>
      </c>
      <c r="L82" s="9" t="n">
        <v>2</v>
      </c>
      <c r="M82" s="9" t="n">
        <v>0</v>
      </c>
      <c r="N82" s="9" t="n">
        <v>0</v>
      </c>
      <c r="O82" s="9" t="n">
        <v>150</v>
      </c>
      <c r="P82" s="9" t="n">
        <v>212</v>
      </c>
      <c r="Q82" s="9" t="n">
        <v>0</v>
      </c>
      <c r="R82" s="9" t="n">
        <v>150</v>
      </c>
      <c r="S82" s="9" t="n">
        <v>2</v>
      </c>
      <c r="T82" s="9" t="n">
        <v>19</v>
      </c>
      <c r="U82" s="9" t="n">
        <f aca="false">H82-O82</f>
        <v>0</v>
      </c>
      <c r="V82" s="9" t="n">
        <f aca="false">H82-T82</f>
        <v>131</v>
      </c>
    </row>
    <row r="83" customFormat="false" ht="15" hidden="false" customHeight="false" outlineLevel="0" collapsed="false">
      <c r="A83" s="8" t="s">
        <v>99</v>
      </c>
      <c r="B83" s="8" t="s">
        <v>129</v>
      </c>
      <c r="C83" s="8" t="s">
        <v>130</v>
      </c>
      <c r="D83" s="8" t="s">
        <v>81</v>
      </c>
      <c r="E83" s="8" t="s">
        <v>82</v>
      </c>
      <c r="F83" s="8" t="n">
        <v>1</v>
      </c>
      <c r="G83" s="8" t="s">
        <v>126</v>
      </c>
      <c r="H83" s="9" t="n">
        <v>150</v>
      </c>
      <c r="I83" s="9" t="n">
        <v>4</v>
      </c>
      <c r="J83" s="9" t="n">
        <v>0</v>
      </c>
      <c r="K83" s="9" t="n">
        <v>150</v>
      </c>
      <c r="L83" s="9" t="n">
        <v>2</v>
      </c>
      <c r="M83" s="9" t="n">
        <v>0</v>
      </c>
      <c r="N83" s="9" t="n">
        <v>0</v>
      </c>
      <c r="O83" s="9" t="n">
        <v>150</v>
      </c>
      <c r="P83" s="9" t="n">
        <v>213</v>
      </c>
      <c r="Q83" s="9" t="n">
        <v>0</v>
      </c>
      <c r="R83" s="9" t="n">
        <v>150</v>
      </c>
      <c r="S83" s="9" t="n">
        <v>2</v>
      </c>
      <c r="T83" s="9" t="n">
        <v>0</v>
      </c>
      <c r="U83" s="9" t="n">
        <f aca="false">H83-O83</f>
        <v>0</v>
      </c>
      <c r="V83" s="9" t="n">
        <f aca="false">H83-T83</f>
        <v>150</v>
      </c>
    </row>
    <row r="84" customFormat="false" ht="15" hidden="false" customHeight="false" outlineLevel="0" collapsed="false">
      <c r="A84" s="8" t="s">
        <v>99</v>
      </c>
      <c r="B84" s="8" t="s">
        <v>129</v>
      </c>
      <c r="C84" s="8" t="s">
        <v>130</v>
      </c>
      <c r="D84" s="8" t="s">
        <v>88</v>
      </c>
      <c r="E84" s="8" t="s">
        <v>82</v>
      </c>
      <c r="F84" s="8" t="n">
        <v>0</v>
      </c>
      <c r="G84" s="8" t="s">
        <v>126</v>
      </c>
      <c r="H84" s="9" t="n">
        <v>150</v>
      </c>
      <c r="I84" s="9" t="n">
        <v>0</v>
      </c>
      <c r="J84" s="9" t="n">
        <v>0</v>
      </c>
      <c r="K84" s="9" t="n">
        <v>150</v>
      </c>
      <c r="L84" s="9" t="n">
        <v>2</v>
      </c>
      <c r="M84" s="9" t="n">
        <v>0</v>
      </c>
      <c r="N84" s="9" t="n">
        <v>0</v>
      </c>
      <c r="O84" s="9" t="n">
        <v>150</v>
      </c>
      <c r="P84" s="9" t="n">
        <v>213</v>
      </c>
      <c r="Q84" s="9" t="n">
        <v>0</v>
      </c>
      <c r="R84" s="9" t="n">
        <v>150</v>
      </c>
      <c r="S84" s="9" t="n">
        <v>2</v>
      </c>
      <c r="T84" s="9" t="n">
        <v>0</v>
      </c>
      <c r="U84" s="9" t="n">
        <f aca="false">H84-O84</f>
        <v>0</v>
      </c>
      <c r="V84" s="9" t="n">
        <f aca="false">H84-T84</f>
        <v>150</v>
      </c>
    </row>
    <row r="85" customFormat="false" ht="15" hidden="false" customHeight="false" outlineLevel="0" collapsed="false">
      <c r="A85" s="8" t="s">
        <v>99</v>
      </c>
      <c r="B85" s="8" t="s">
        <v>129</v>
      </c>
      <c r="C85" s="8" t="s">
        <v>130</v>
      </c>
      <c r="D85" s="8" t="s">
        <v>89</v>
      </c>
      <c r="E85" s="8" t="s">
        <v>82</v>
      </c>
      <c r="F85" s="8" t="n">
        <v>0</v>
      </c>
      <c r="G85" s="8" t="s">
        <v>126</v>
      </c>
      <c r="H85" s="9" t="n">
        <v>0</v>
      </c>
      <c r="I85" s="9" t="n">
        <v>38</v>
      </c>
      <c r="J85" s="9" t="n">
        <v>0</v>
      </c>
      <c r="K85" s="9" t="n">
        <v>-30</v>
      </c>
      <c r="L85" s="9" t="n">
        <v>2</v>
      </c>
      <c r="M85" s="9" t="n">
        <v>0</v>
      </c>
      <c r="N85" s="9" t="n">
        <v>0</v>
      </c>
      <c r="O85" s="9" t="n">
        <v>159</v>
      </c>
      <c r="P85" s="9" t="n">
        <v>213</v>
      </c>
      <c r="Q85" s="9" t="n">
        <v>0</v>
      </c>
      <c r="R85" s="9" t="n">
        <v>159</v>
      </c>
      <c r="S85" s="9" t="n">
        <v>2</v>
      </c>
      <c r="T85" s="9" t="n">
        <v>30</v>
      </c>
      <c r="U85" s="9" t="n">
        <f aca="false">H85-O85</f>
        <v>-159</v>
      </c>
      <c r="V85" s="9" t="n">
        <f aca="false">H85-T85</f>
        <v>-30</v>
      </c>
    </row>
    <row r="86" customFormat="false" ht="15" hidden="false" customHeight="false" outlineLevel="0" collapsed="false">
      <c r="A86" s="8" t="s">
        <v>100</v>
      </c>
      <c r="B86" s="8" t="s">
        <v>131</v>
      </c>
      <c r="C86" s="8" t="s">
        <v>132</v>
      </c>
      <c r="D86" s="8" t="s">
        <v>71</v>
      </c>
      <c r="E86" s="8" t="s">
        <v>72</v>
      </c>
      <c r="F86" s="8" t="n">
        <v>1</v>
      </c>
      <c r="G86" s="8" t="s">
        <v>117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20</v>
      </c>
      <c r="U86" s="9" t="n">
        <f aca="false">H86-O86</f>
        <v>0</v>
      </c>
      <c r="V86" s="9" t="n">
        <f aca="false">H86-T86</f>
        <v>-20</v>
      </c>
    </row>
    <row r="87" customFormat="false" ht="15" hidden="false" customHeight="false" outlineLevel="0" collapsed="false">
      <c r="A87" s="8" t="s">
        <v>100</v>
      </c>
      <c r="B87" s="8" t="s">
        <v>131</v>
      </c>
      <c r="C87" s="8" t="s">
        <v>132</v>
      </c>
      <c r="D87" s="8" t="s">
        <v>73</v>
      </c>
      <c r="E87" s="8" t="s">
        <v>74</v>
      </c>
      <c r="F87" s="8" t="n">
        <v>1</v>
      </c>
      <c r="G87" s="8" t="s">
        <v>117</v>
      </c>
      <c r="H87" s="9" t="n">
        <v>0</v>
      </c>
      <c r="I87" s="9" t="n">
        <v>0</v>
      </c>
      <c r="J87" s="9" t="n">
        <v>0</v>
      </c>
      <c r="K87" s="9" t="n">
        <v>0</v>
      </c>
      <c r="L87" s="9" t="n">
        <v>0</v>
      </c>
      <c r="M87" s="9" t="n">
        <v>0</v>
      </c>
      <c r="N87" s="9" t="n">
        <v>0</v>
      </c>
      <c r="O87" s="9" t="n">
        <v>0</v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5</v>
      </c>
      <c r="U87" s="9" t="n">
        <f aca="false">H87-O87</f>
        <v>0</v>
      </c>
      <c r="V87" s="9" t="n">
        <f aca="false">H87-T87</f>
        <v>-5</v>
      </c>
    </row>
    <row r="88" customFormat="false" ht="15" hidden="false" customHeight="false" outlineLevel="0" collapsed="false">
      <c r="A88" s="8" t="s">
        <v>100</v>
      </c>
      <c r="B88" s="8" t="s">
        <v>131</v>
      </c>
      <c r="C88" s="8" t="s">
        <v>132</v>
      </c>
      <c r="D88" s="8" t="s">
        <v>75</v>
      </c>
      <c r="E88" s="8" t="s">
        <v>74</v>
      </c>
      <c r="F88" s="8" t="n">
        <v>1</v>
      </c>
      <c r="G88" s="8" t="s">
        <v>117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0</v>
      </c>
      <c r="O88" s="9" t="n">
        <v>0</v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44</v>
      </c>
      <c r="U88" s="9" t="n">
        <f aca="false">H88-O88</f>
        <v>0</v>
      </c>
      <c r="V88" s="9" t="n">
        <f aca="false">H88-T88</f>
        <v>-44</v>
      </c>
    </row>
    <row r="89" customFormat="false" ht="15" hidden="false" customHeight="false" outlineLevel="0" collapsed="false">
      <c r="A89" s="8" t="s">
        <v>100</v>
      </c>
      <c r="B89" s="8" t="s">
        <v>131</v>
      </c>
      <c r="C89" s="8" t="s">
        <v>132</v>
      </c>
      <c r="D89" s="8" t="s">
        <v>76</v>
      </c>
      <c r="E89" s="8" t="s">
        <v>74</v>
      </c>
      <c r="F89" s="8" t="n">
        <v>1</v>
      </c>
      <c r="G89" s="8" t="s">
        <v>117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0</v>
      </c>
      <c r="M89" s="9" t="n">
        <v>0</v>
      </c>
      <c r="N89" s="9" t="n">
        <v>0</v>
      </c>
      <c r="O89" s="9" t="n">
        <v>0</v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10</v>
      </c>
      <c r="U89" s="9" t="n">
        <f aca="false">H89-O89</f>
        <v>0</v>
      </c>
      <c r="V89" s="9" t="n">
        <f aca="false">H89-T89</f>
        <v>-10</v>
      </c>
    </row>
    <row r="90" customFormat="false" ht="15" hidden="false" customHeight="false" outlineLevel="0" collapsed="false">
      <c r="A90" s="8" t="s">
        <v>100</v>
      </c>
      <c r="B90" s="8" t="s">
        <v>131</v>
      </c>
      <c r="C90" s="8" t="s">
        <v>132</v>
      </c>
      <c r="D90" s="8" t="s">
        <v>77</v>
      </c>
      <c r="E90" s="8" t="s">
        <v>78</v>
      </c>
      <c r="F90" s="8" t="n">
        <v>1</v>
      </c>
      <c r="G90" s="8" t="s">
        <v>117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0</v>
      </c>
      <c r="M90" s="9" t="n">
        <v>0</v>
      </c>
      <c r="N90" s="9" t="n">
        <v>0</v>
      </c>
      <c r="O90" s="9" t="n">
        <v>0</v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7</v>
      </c>
      <c r="U90" s="9" t="n">
        <f aca="false">H90-O90</f>
        <v>0</v>
      </c>
      <c r="V90" s="9" t="n">
        <f aca="false">H90-T90</f>
        <v>-7</v>
      </c>
    </row>
    <row r="91" customFormat="false" ht="15" hidden="false" customHeight="false" outlineLevel="0" collapsed="false">
      <c r="A91" s="8" t="s">
        <v>100</v>
      </c>
      <c r="B91" s="8" t="s">
        <v>131</v>
      </c>
      <c r="C91" s="8" t="s">
        <v>132</v>
      </c>
      <c r="D91" s="8" t="s">
        <v>79</v>
      </c>
      <c r="E91" s="8" t="s">
        <v>78</v>
      </c>
      <c r="F91" s="8" t="n">
        <v>1</v>
      </c>
      <c r="G91" s="8" t="s">
        <v>117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21</v>
      </c>
      <c r="U91" s="9" t="n">
        <f aca="false">H91-O91</f>
        <v>0</v>
      </c>
      <c r="V91" s="9" t="n">
        <f aca="false">H91-T91</f>
        <v>-21</v>
      </c>
    </row>
    <row r="92" customFormat="false" ht="15" hidden="false" customHeight="false" outlineLevel="0" collapsed="false">
      <c r="A92" s="8" t="s">
        <v>100</v>
      </c>
      <c r="B92" s="8" t="s">
        <v>131</v>
      </c>
      <c r="C92" s="8" t="s">
        <v>132</v>
      </c>
      <c r="D92" s="8" t="s">
        <v>80</v>
      </c>
      <c r="E92" s="8" t="s">
        <v>78</v>
      </c>
      <c r="F92" s="8" t="n">
        <v>1</v>
      </c>
      <c r="G92" s="8" t="s">
        <v>117</v>
      </c>
      <c r="H92" s="9" t="n">
        <v>0</v>
      </c>
      <c r="I92" s="9" t="n">
        <v>0</v>
      </c>
      <c r="J92" s="9" t="n">
        <v>0</v>
      </c>
      <c r="K92" s="9" t="n">
        <v>0</v>
      </c>
      <c r="L92" s="9" t="n">
        <v>0</v>
      </c>
      <c r="M92" s="9" t="n">
        <v>0</v>
      </c>
      <c r="N92" s="9" t="n">
        <v>0</v>
      </c>
      <c r="O92" s="9" t="n">
        <v>0</v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31</v>
      </c>
      <c r="U92" s="9" t="n">
        <f aca="false">H92-O92</f>
        <v>0</v>
      </c>
      <c r="V92" s="9" t="n">
        <f aca="false">H92-T92</f>
        <v>-31</v>
      </c>
    </row>
    <row r="93" customFormat="false" ht="15" hidden="false" customHeight="false" outlineLevel="0" collapsed="false">
      <c r="A93" s="8" t="s">
        <v>100</v>
      </c>
      <c r="B93" s="8" t="s">
        <v>131</v>
      </c>
      <c r="C93" s="8" t="s">
        <v>132</v>
      </c>
      <c r="D93" s="8" t="s">
        <v>81</v>
      </c>
      <c r="E93" s="8" t="s">
        <v>82</v>
      </c>
      <c r="F93" s="8" t="n">
        <v>1</v>
      </c>
      <c r="G93" s="8" t="s">
        <v>117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</v>
      </c>
      <c r="M93" s="9" t="n">
        <v>0</v>
      </c>
      <c r="N93" s="9" t="n">
        <v>0</v>
      </c>
      <c r="O93" s="9" t="n">
        <v>0</v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1</v>
      </c>
      <c r="U93" s="9" t="n">
        <f aca="false">H93-O93</f>
        <v>0</v>
      </c>
      <c r="V93" s="9" t="n">
        <f aca="false">H93-T93</f>
        <v>-1</v>
      </c>
    </row>
    <row r="94" customFormat="false" ht="15" hidden="false" customHeight="false" outlineLevel="0" collapsed="false">
      <c r="A94" s="8" t="s">
        <v>100</v>
      </c>
      <c r="B94" s="8" t="s">
        <v>131</v>
      </c>
      <c r="C94" s="8" t="s">
        <v>132</v>
      </c>
      <c r="D94" s="8" t="s">
        <v>88</v>
      </c>
      <c r="E94" s="8" t="s">
        <v>82</v>
      </c>
      <c r="F94" s="8" t="n">
        <v>0</v>
      </c>
      <c r="G94" s="8" t="s">
        <v>117</v>
      </c>
      <c r="H94" s="9" t="n">
        <v>0</v>
      </c>
      <c r="I94" s="9" t="n">
        <v>0</v>
      </c>
      <c r="J94" s="9" t="n">
        <v>0</v>
      </c>
      <c r="K94" s="9" t="n">
        <v>0</v>
      </c>
      <c r="L94" s="9" t="n">
        <v>0</v>
      </c>
      <c r="M94" s="9" t="n">
        <v>0</v>
      </c>
      <c r="N94" s="9" t="n">
        <v>0</v>
      </c>
      <c r="O94" s="9" t="n">
        <v>0</v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2</v>
      </c>
      <c r="U94" s="9" t="n">
        <f aca="false">H94-O94</f>
        <v>0</v>
      </c>
      <c r="V94" s="9" t="n">
        <f aca="false">H94-T94</f>
        <v>-2</v>
      </c>
    </row>
  </sheetData>
  <autoFilter ref="A1:V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2026-09-07T08:22:56Z</dcterms:created>
  <dc:creator>openpyxl</dc:creator>
  <dc:description/>
  <dc:language>en-US</dc:language>
  <cp:lastModifiedBy/>
  <dcterms:modified xsi:type="dcterms:W3CDTF">2026-09-07T08:22:56Z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